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Èricles\Desktop\COBEQ 2025\"/>
    </mc:Choice>
  </mc:AlternateContent>
  <xr:revisionPtr revIDLastSave="0" documentId="13_ncr:1_{91B25B25-AA1E-4E98-BE4E-657E52D95F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17" i="1" l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4" i="1"/>
  <c r="AK3" i="1"/>
  <c r="AK2" i="1"/>
  <c r="AL339" i="1"/>
  <c r="AL338" i="1"/>
  <c r="AL337" i="1"/>
  <c r="AL336" i="1"/>
  <c r="AL335" i="1"/>
  <c r="AL334" i="1"/>
  <c r="AL333" i="1"/>
  <c r="AL332" i="1"/>
  <c r="AL331" i="1"/>
  <c r="AL330" i="1"/>
  <c r="AL329" i="1"/>
  <c r="AL328" i="1"/>
  <c r="AL327" i="1"/>
  <c r="AL326" i="1"/>
  <c r="AL325" i="1"/>
  <c r="AL324" i="1"/>
  <c r="AL323" i="1"/>
  <c r="AL322" i="1" l="1"/>
  <c r="AL321" i="1"/>
  <c r="AL320" i="1"/>
  <c r="AL319" i="1"/>
  <c r="AL318" i="1"/>
  <c r="AL317" i="1"/>
  <c r="AL316" i="1"/>
  <c r="AL315" i="1"/>
  <c r="AL314" i="1"/>
  <c r="AL313" i="1"/>
  <c r="AL312" i="1"/>
  <c r="AL311" i="1"/>
  <c r="AL310" i="1"/>
  <c r="AL309" i="1"/>
  <c r="AL308" i="1"/>
  <c r="AL307" i="1"/>
  <c r="AL306" i="1"/>
  <c r="AL305" i="1"/>
  <c r="AL304" i="1"/>
  <c r="AL303" i="1"/>
  <c r="AL302" i="1"/>
  <c r="AL301" i="1"/>
  <c r="AL300" i="1"/>
  <c r="AL299" i="1"/>
  <c r="AL298" i="1"/>
  <c r="AL297" i="1"/>
  <c r="AL296" i="1"/>
  <c r="AL295" i="1"/>
  <c r="AL294" i="1"/>
  <c r="AL293" i="1"/>
  <c r="AL292" i="1"/>
  <c r="AL291" i="1"/>
  <c r="AL290" i="1"/>
  <c r="AL289" i="1"/>
  <c r="AL288" i="1"/>
  <c r="AL287" i="1"/>
  <c r="AL286" i="1"/>
  <c r="AL285" i="1"/>
  <c r="AL284" i="1"/>
  <c r="AL283" i="1"/>
  <c r="AL282" i="1"/>
  <c r="AL281" i="1"/>
  <c r="AL280" i="1"/>
  <c r="AL279" i="1"/>
  <c r="AL278" i="1"/>
  <c r="AL277" i="1"/>
  <c r="AL276" i="1"/>
  <c r="AL275" i="1"/>
  <c r="AL274" i="1"/>
  <c r="AL273" i="1"/>
  <c r="AL272" i="1"/>
  <c r="AL271" i="1"/>
  <c r="AL270" i="1"/>
  <c r="AL269" i="1"/>
  <c r="AL268" i="1"/>
  <c r="AL267" i="1"/>
  <c r="AL266" i="1"/>
  <c r="AL265" i="1"/>
  <c r="AL264" i="1"/>
  <c r="AL263" i="1"/>
  <c r="AL262" i="1"/>
  <c r="AL261" i="1"/>
  <c r="AL260" i="1"/>
  <c r="AL259" i="1"/>
  <c r="AL258" i="1"/>
  <c r="AL257" i="1"/>
  <c r="AL256" i="1"/>
  <c r="AL255" i="1"/>
  <c r="AL254" i="1"/>
  <c r="AL253" i="1"/>
  <c r="AL252" i="1"/>
  <c r="AL251" i="1"/>
  <c r="AL250" i="1"/>
  <c r="AL249" i="1"/>
  <c r="AL248" i="1"/>
  <c r="AL247" i="1"/>
  <c r="AL246" i="1"/>
  <c r="AL245" i="1"/>
  <c r="AL244" i="1"/>
  <c r="AL243" i="1"/>
  <c r="AL242" i="1"/>
  <c r="AL241" i="1"/>
  <c r="AL240" i="1"/>
  <c r="AL239" i="1"/>
  <c r="AL238" i="1"/>
  <c r="AL237" i="1"/>
  <c r="AL236" i="1"/>
  <c r="AL235" i="1"/>
  <c r="AL234" i="1"/>
  <c r="AL233" i="1"/>
  <c r="AL232" i="1"/>
  <c r="AL231" i="1"/>
  <c r="AL230" i="1"/>
  <c r="AL229" i="1"/>
  <c r="AL228" i="1"/>
  <c r="AL227" i="1"/>
  <c r="AL226" i="1"/>
  <c r="AL225" i="1"/>
  <c r="AL224" i="1"/>
  <c r="AL223" i="1"/>
  <c r="AL222" i="1"/>
  <c r="AL221" i="1"/>
  <c r="AL220" i="1"/>
  <c r="AL219" i="1"/>
  <c r="AL218" i="1"/>
  <c r="AL217" i="1"/>
  <c r="AL216" i="1"/>
  <c r="AL215" i="1"/>
  <c r="AL214" i="1"/>
  <c r="AL213" i="1"/>
  <c r="AL212" i="1"/>
  <c r="AL211" i="1"/>
  <c r="AL210" i="1"/>
  <c r="AL209" i="1"/>
  <c r="P197" i="1"/>
  <c r="P186" i="1"/>
  <c r="AL186" i="1"/>
  <c r="P187" i="1"/>
  <c r="AL187" i="1"/>
  <c r="P188" i="1"/>
  <c r="AL188" i="1"/>
  <c r="P189" i="1"/>
  <c r="AL189" i="1"/>
  <c r="P190" i="1"/>
  <c r="AL190" i="1"/>
  <c r="P191" i="1"/>
  <c r="AL191" i="1"/>
  <c r="P192" i="1"/>
  <c r="AL192" i="1"/>
  <c r="P193" i="1"/>
  <c r="AL193" i="1"/>
  <c r="P194" i="1"/>
  <c r="AL194" i="1"/>
  <c r="P195" i="1"/>
  <c r="AL195" i="1"/>
  <c r="P196" i="1"/>
  <c r="AL196" i="1"/>
  <c r="AL197" i="1"/>
  <c r="P198" i="1"/>
  <c r="AL198" i="1"/>
  <c r="P199" i="1"/>
  <c r="AL199" i="1"/>
  <c r="P200" i="1"/>
  <c r="AL200" i="1"/>
  <c r="P201" i="1"/>
  <c r="AL201" i="1"/>
  <c r="P202" i="1"/>
  <c r="AL202" i="1"/>
  <c r="P203" i="1"/>
  <c r="AL203" i="1"/>
  <c r="P204" i="1"/>
  <c r="AL204" i="1"/>
  <c r="P205" i="1"/>
  <c r="AL205" i="1"/>
  <c r="P206" i="1"/>
  <c r="AL206" i="1"/>
  <c r="P207" i="1"/>
  <c r="AL207" i="1"/>
  <c r="P208" i="1"/>
  <c r="AL208" i="1"/>
  <c r="AL185" i="1"/>
  <c r="P185" i="1"/>
  <c r="AL181" i="1"/>
  <c r="AL182" i="1"/>
  <c r="AL183" i="1"/>
  <c r="AL184" i="1"/>
  <c r="AL180" i="1"/>
  <c r="AL179" i="1"/>
  <c r="AL139" i="1" l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38" i="1"/>
  <c r="AL121" i="1"/>
  <c r="AL118" i="1" l="1"/>
  <c r="AL119" i="1"/>
  <c r="AL120" i="1"/>
  <c r="AL117" i="1"/>
  <c r="AL30" i="1" l="1"/>
  <c r="AL31" i="1"/>
  <c r="AL29" i="1"/>
  <c r="AD30" i="1"/>
  <c r="AD31" i="1"/>
  <c r="AD29" i="1"/>
  <c r="AL7" i="1" l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6" i="1"/>
  <c r="AL22" i="1"/>
  <c r="AL23" i="1"/>
  <c r="AL24" i="1"/>
  <c r="AL25" i="1"/>
  <c r="AL26" i="1"/>
  <c r="AL27" i="1"/>
  <c r="AL5" i="1"/>
  <c r="AL3" i="1"/>
  <c r="AL4" i="1"/>
  <c r="AL2" i="1"/>
</calcChain>
</file>

<file path=xl/sharedStrings.xml><?xml version="1.0" encoding="utf-8"?>
<sst xmlns="http://schemas.openxmlformats.org/spreadsheetml/2006/main" count="4826" uniqueCount="312">
  <si>
    <t>Reference</t>
  </si>
  <si>
    <t>Porosity</t>
  </si>
  <si>
    <t>Surface Area (m²/g)</t>
  </si>
  <si>
    <t>Carbon</t>
  </si>
  <si>
    <t>Oxygen</t>
  </si>
  <si>
    <t>Hydrogen</t>
  </si>
  <si>
    <t>Sulfur</t>
  </si>
  <si>
    <t>Fixed Carbon</t>
  </si>
  <si>
    <t>Moisture</t>
  </si>
  <si>
    <t>Ash</t>
  </si>
  <si>
    <t>Volatiles</t>
  </si>
  <si>
    <t>Fe content</t>
  </si>
  <si>
    <t>esfericity</t>
  </si>
  <si>
    <t>Water binder</t>
  </si>
  <si>
    <t>Bentonite</t>
  </si>
  <si>
    <t>Limestone</t>
  </si>
  <si>
    <t>Biomass</t>
  </si>
  <si>
    <t>Molar ratio C/O</t>
  </si>
  <si>
    <t>Bed type</t>
  </si>
  <si>
    <t>H2</t>
  </si>
  <si>
    <t>CO</t>
  </si>
  <si>
    <t>CO2</t>
  </si>
  <si>
    <t>CH4</t>
  </si>
  <si>
    <t>Gas flow (m³/h)</t>
  </si>
  <si>
    <r>
      <t xml:space="preserve">Hosokai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(2012)</t>
    </r>
  </si>
  <si>
    <r>
      <t xml:space="preserve">Guo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(2015)</t>
    </r>
  </si>
  <si>
    <r>
      <t xml:space="preserve">Guo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(2017)</t>
    </r>
  </si>
  <si>
    <r>
      <t xml:space="preserve">Ashokumar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(2021)</t>
    </r>
  </si>
  <si>
    <r>
      <t xml:space="preserve">Cholico-González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(2021)</t>
    </r>
  </si>
  <si>
    <r>
      <t xml:space="preserve">Cardona </t>
    </r>
    <r>
      <rPr>
        <i/>
        <sz val="11"/>
        <color theme="1"/>
        <rFont val="Calibri"/>
        <family val="2"/>
        <scheme val="minor"/>
      </rPr>
      <t xml:space="preserve">et al. </t>
    </r>
    <r>
      <rPr>
        <sz val="11"/>
        <color theme="1"/>
        <rFont val="Calibri"/>
        <family val="2"/>
        <scheme val="minor"/>
      </rPr>
      <t>(2022)</t>
    </r>
  </si>
  <si>
    <r>
      <t xml:space="preserve">Yi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(2022)</t>
    </r>
  </si>
  <si>
    <r>
      <t xml:space="preserve">Higashi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(2023)</t>
    </r>
  </si>
  <si>
    <t>R ore (without contact between iron and carbon source)</t>
  </si>
  <si>
    <t>H ore (without contact between iron and carbon source)</t>
  </si>
  <si>
    <t>C ore (without contact between iron and carbon source)</t>
  </si>
  <si>
    <t>NaN</t>
  </si>
  <si>
    <t>Observations (1 - fixed bed; 2 - fluidized bed)</t>
  </si>
  <si>
    <t>Sample 7</t>
  </si>
  <si>
    <t>Sample 6</t>
  </si>
  <si>
    <t>Sample 5</t>
  </si>
  <si>
    <t>Sample 4 - Gas 1</t>
  </si>
  <si>
    <t>Sample 4 - Gas 2</t>
  </si>
  <si>
    <t>Sample 4 - Gas 3</t>
  </si>
  <si>
    <t>Sample 4 - Gas 4</t>
  </si>
  <si>
    <t>Sample 4 - Gas 5</t>
  </si>
  <si>
    <t>Pressure (bar)</t>
  </si>
  <si>
    <t>Sample 4 - 900C - 30 min</t>
  </si>
  <si>
    <t>Sample 4 - 900C - 45 min</t>
  </si>
  <si>
    <t>Sample 4 - 900C - 60 min</t>
  </si>
  <si>
    <t>Sample 4 - 950C - 30 min</t>
  </si>
  <si>
    <t>Sample 4 - 950C - 45 min</t>
  </si>
  <si>
    <t>Sample 4 - 950C - 60 min</t>
  </si>
  <si>
    <t>Sample 4 - 1000C - 30 min</t>
  </si>
  <si>
    <t>Sample 4 - 1000C - 45 min</t>
  </si>
  <si>
    <t>Sample 4 - 1000C - 60 min</t>
  </si>
  <si>
    <t>Sample 4 - 1050C - 45 min</t>
  </si>
  <si>
    <t>Sample 4 - 1050C - 30 min</t>
  </si>
  <si>
    <t>Sample 4 - 1050C - 60 min</t>
  </si>
  <si>
    <t>Sample 4 - 1100C - 30 min</t>
  </si>
  <si>
    <t>Sample 4 - 1100C - 45 min</t>
  </si>
  <si>
    <t>Sample 4 - 1100C - 60 min</t>
  </si>
  <si>
    <t>Similar to Hata et al. (2009). It was not produced composite pellet</t>
  </si>
  <si>
    <t>com biomassa (base úmida) T = 850°C t = 1 min</t>
  </si>
  <si>
    <t>com biomassa (base úmida) T = 850°C t = 2 min</t>
  </si>
  <si>
    <t>com biomassa (base úmida) T = 850°C t = 2,5 min</t>
  </si>
  <si>
    <t>com biomassa (base úmida) T = 850°C t = 3 min</t>
  </si>
  <si>
    <t>com biomassa (base úmida) T = 850°C t = 5 min</t>
  </si>
  <si>
    <t>com biomassa (base úmida) T = 850°C t = 10 min</t>
  </si>
  <si>
    <t>com biomassa (base úmida) T = 850°C t = 15 min</t>
  </si>
  <si>
    <t>com biomassa (base úmida) T = 850°C t = 20 min</t>
  </si>
  <si>
    <t>com biomassa (base úmida) T = 850°C t = 25 min</t>
  </si>
  <si>
    <t>com biomassa (base úmida) T = 900°C t = 1 min</t>
  </si>
  <si>
    <t>com biomassa (base úmida) T = 900°C t = 2 min</t>
  </si>
  <si>
    <t>com biomassa (base úmida) T = 900°C t = 2,5 min</t>
  </si>
  <si>
    <t>com biomassa (base úmida) T = 900°C t = 3 min</t>
  </si>
  <si>
    <t>com biomassa (base úmida) T = 900°C t = 5 min</t>
  </si>
  <si>
    <t>com biomassa (base úmida) T = 900°C t = 10 min</t>
  </si>
  <si>
    <t>com biomassa (base úmida) T = 900°C t = 15 min</t>
  </si>
  <si>
    <t>com biomassa (base úmida) T = 900°C t = 20 min</t>
  </si>
  <si>
    <t>com biomassa (base úmida) T = 900°C t = 25 min</t>
  </si>
  <si>
    <t>com biomassa (base úmida) T = 950°C t = 1 min</t>
  </si>
  <si>
    <t>com biomassa (base úmida) T = 950°C t = 2 min</t>
  </si>
  <si>
    <t>com biomassa (base úmida) T = 950°C t = 2,5 min</t>
  </si>
  <si>
    <t>com biomassa (base úmida) T = 950°C t = 3 min</t>
  </si>
  <si>
    <t>com biomassa (base úmida) T = 950°C t = 5 min</t>
  </si>
  <si>
    <t>com biomassa (base úmida) T = 950°C t = 10 min</t>
  </si>
  <si>
    <t>com biomassa (base úmida) T = 950°C t = 15 min</t>
  </si>
  <si>
    <t>com biomassa (base úmida) T = 950°C t = 20 min</t>
  </si>
  <si>
    <t>com biomassa (base úmida) T = 950°C t = 25 min</t>
  </si>
  <si>
    <t>com biomassa (base úmida) T = 1000°C t = 1 min</t>
  </si>
  <si>
    <t>com biomassa (base úmida) T = 1000°C t = 2 min</t>
  </si>
  <si>
    <t>com biomassa (base úmida) T = 1000°C t = 2,5 min</t>
  </si>
  <si>
    <t>com biomassa (base úmida) T = 1000°C t = 3 min</t>
  </si>
  <si>
    <t>com biomassa (base úmida) T = 1000°C t = 5 min</t>
  </si>
  <si>
    <t>com biomassa (base úmida) T = 1000°C t = 10 min</t>
  </si>
  <si>
    <t>com biomassa (base úmida) T = 1000°C t = 15 min</t>
  </si>
  <si>
    <t>com biomassa (base úmida) T = 1000°C t = 20 min</t>
  </si>
  <si>
    <t>com biomassa (base úmida) T = 1000°C t = 25 min</t>
  </si>
  <si>
    <t>com biomassa (base úmida) T = 1050°C t = 1 min</t>
  </si>
  <si>
    <t>com biomassa (base úmida) T = 1050°C t = 2 min</t>
  </si>
  <si>
    <t>com biomassa (base úmida) T = 1050°C t = 2,5 min</t>
  </si>
  <si>
    <t>com biomassa (base úmida) T = 1050°C t = 3 min</t>
  </si>
  <si>
    <t>com biomassa (base úmida) T = 1050°C t = 5 min</t>
  </si>
  <si>
    <t>com biomassa (base úmida) T = 1050°C t = 10 min</t>
  </si>
  <si>
    <t>com biomassa (base úmida) T = 1050°C t = 15 min</t>
  </si>
  <si>
    <t>com biomassa (base úmida) T = 1050°C t = 20 min</t>
  </si>
  <si>
    <t>com biomassa (base úmida) T = 1050°C t = 25 min</t>
  </si>
  <si>
    <t>Rice Lemma</t>
  </si>
  <si>
    <t>Peanut Hull</t>
  </si>
  <si>
    <t>Maize Cob</t>
  </si>
  <si>
    <t>Pine Sawdust</t>
  </si>
  <si>
    <t>This articles uses the biochar as a potentiallity...not a complete study</t>
  </si>
  <si>
    <t>90:10 e T = 800°C</t>
  </si>
  <si>
    <t>90:10 e T = 900°C</t>
  </si>
  <si>
    <t>90:10 e T = 1000°C</t>
  </si>
  <si>
    <t>90:10 e T = 1100°C</t>
  </si>
  <si>
    <t>75:25 e T = 800°C</t>
  </si>
  <si>
    <t>75:25 e T = 900°C</t>
  </si>
  <si>
    <t>75:25 e T = 1000°C</t>
  </si>
  <si>
    <t>75:25 e T = 1100°C</t>
  </si>
  <si>
    <t>65:35 e T = 800°C</t>
  </si>
  <si>
    <t>65:35 e T = 900°C</t>
  </si>
  <si>
    <t>65:35 e T = 1000°C</t>
  </si>
  <si>
    <t>65:35 e T = 1100°C</t>
  </si>
  <si>
    <t>50:50 e T = 800°C</t>
  </si>
  <si>
    <t>Not prepared densified pellets. Base úmida 50:50 e 1000C</t>
  </si>
  <si>
    <t>50:50 e 1100°C</t>
  </si>
  <si>
    <t>50:50 e T = 900°C</t>
  </si>
  <si>
    <t>Iron ore</t>
  </si>
  <si>
    <t>Biomass T = 900°C t = 15 min</t>
  </si>
  <si>
    <t>Biomass T = 900°C t = 30 min</t>
  </si>
  <si>
    <t>Biomass T = 900°C t = 45 min</t>
  </si>
  <si>
    <t>Biomass T = 900°C t = 60 min</t>
  </si>
  <si>
    <t>Biomass T = 900°C t = 90 min</t>
  </si>
  <si>
    <t>Biomass T = 1000°C t = 15 min</t>
  </si>
  <si>
    <t>Biomass T = 1000°C t = 30 min</t>
  </si>
  <si>
    <t>Biomass T = 1000°C t = 45 min</t>
  </si>
  <si>
    <t>Biomass T = 1000°C t = 60 min</t>
  </si>
  <si>
    <t>Biomass T = 1000°C t = 90 min</t>
  </si>
  <si>
    <t>Biomass T = 1100°C t = 15 min</t>
  </si>
  <si>
    <t>Biomass T = 1100°C t = 30 min</t>
  </si>
  <si>
    <t>Biomass T = 1100°C t = 45 min</t>
  </si>
  <si>
    <t>Biomass T = 1100°C t = 60 min</t>
  </si>
  <si>
    <t>Biomass T = 1100°C t = 90 min</t>
  </si>
  <si>
    <t>Biomass T = 1200°C t = 15 min</t>
  </si>
  <si>
    <t>Biomass T = 1200°C t = 30 min</t>
  </si>
  <si>
    <t>Biomass T = 1200°C t = 45 min</t>
  </si>
  <si>
    <t>Biomass T = 1200°C t = 60 min</t>
  </si>
  <si>
    <t>Biomass T = 1200°C t = 90 min</t>
  </si>
  <si>
    <t>Biochar T = 900°C t = 15 min</t>
  </si>
  <si>
    <t>Biochar T = 900°C t = 30 min</t>
  </si>
  <si>
    <t>Biochar T = 900°C t = 45 min</t>
  </si>
  <si>
    <t>Biochar T = 900°C t = 60 min</t>
  </si>
  <si>
    <t>Biochar T = 900°C t = 90 min</t>
  </si>
  <si>
    <t>Biochar T = 1000°C t = 15 min</t>
  </si>
  <si>
    <t>Biochar T = 1000°C t = 30 min</t>
  </si>
  <si>
    <t>Biochar T = 1000°C t = 45 min</t>
  </si>
  <si>
    <t>Biochar T = 1000°C t = 60 min</t>
  </si>
  <si>
    <t>Biochar T = 1000°C t = 90 min</t>
  </si>
  <si>
    <t>Biochar T = 1100°C t = 90 min</t>
  </si>
  <si>
    <t>Biochar T = 1100°C t = 15 min</t>
  </si>
  <si>
    <t>Biochar T = 1100°C t = 30 min</t>
  </si>
  <si>
    <t>Biochar T = 1100°C t = 45 min</t>
  </si>
  <si>
    <t>Biochar T = 1100°C t = 60 min</t>
  </si>
  <si>
    <t>Biochar T = 1200°C t = 90 min</t>
  </si>
  <si>
    <t>Biochar T = 1200°C t = 15 min</t>
  </si>
  <si>
    <t>Biochar T = 1200°C t = 30 min</t>
  </si>
  <si>
    <t>Biochar T = 1200°C t = 45 min</t>
  </si>
  <si>
    <t>Biochar T = 1200°C t = 60 min</t>
  </si>
  <si>
    <r>
      <t xml:space="preserve">Yuan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(2021) base seca</t>
    </r>
  </si>
  <si>
    <t>It is not possible to determine the % Fe in the pellet. Dry basis</t>
  </si>
  <si>
    <t>It did not make pellets. Wet basis. The Fig 10 with metallization results is not clear</t>
  </si>
  <si>
    <t>It was prepared pellets with biomass and biomass torrified. But, just the composition of first one was published. Dry basis</t>
  </si>
  <si>
    <t>T = 1000°C</t>
  </si>
  <si>
    <t>T = 800°C</t>
  </si>
  <si>
    <t>T = 600°C</t>
  </si>
  <si>
    <t>T = 400°C</t>
  </si>
  <si>
    <t>W3_800 T = 1000C Ratio C/O = 1  t = 30min</t>
  </si>
  <si>
    <t>W3_800 T = 1000C Ratio C/O = 1,5  t = 30min</t>
  </si>
  <si>
    <t>W3_800 T = 1000C Ratio C/O = 2,0  t=30min</t>
  </si>
  <si>
    <t>W3_800 T = 1000C Ratio C/O = 2,5  t=30min</t>
  </si>
  <si>
    <t>W3_600 T = 1000C Ratio C/O = 1,5 t = 30 min</t>
  </si>
  <si>
    <t>W3_800 T = 1000C Ratio C/O = 1,5 t = 30 min</t>
  </si>
  <si>
    <t>W1_600 T = 1000C Ratio C/O = 1,5 t = 30 min</t>
  </si>
  <si>
    <t>W1_800 T = 1000C Ratio C/O = 1,5 t = 30 min</t>
  </si>
  <si>
    <t>W1_1100 T = 1000C Ratio C/O = 1,5 t = 30 min</t>
  </si>
  <si>
    <t>W3_1100 T = 1000C Ratio C/O = 1,5 t = 30 min</t>
  </si>
  <si>
    <t>W2_600 T = 1000C Ratio C/O = 1,5 t = 30 min</t>
  </si>
  <si>
    <t>W2_800 T = 1000C Ratio C/O = 1,5 t = 30 min</t>
  </si>
  <si>
    <t>W2_1100 T = 1000C Ratio C/O = 1,5 t = 30 min</t>
  </si>
  <si>
    <t>W1_800 T = 850C Ratio C/O = 1,5 t = 30 min</t>
  </si>
  <si>
    <t>W2_800 T = 850C Ratio C/O = 1,5 t = 30 min</t>
  </si>
  <si>
    <t>W3_800 T = 850C Ratio C/O = 1,5 t = 30 min</t>
  </si>
  <si>
    <t>W1_800 T = 900C Ratio C/O = 1,5 t = 30 min</t>
  </si>
  <si>
    <t>W2_800 T = 900C Ratio C/O = 1,5 t = 30 min</t>
  </si>
  <si>
    <t>W3_800 T = 900C Ratio C/O = 1,5 t = 30 min</t>
  </si>
  <si>
    <t>W1_800 T = 950C Ratio C/O = 1,5 t = 30 min</t>
  </si>
  <si>
    <t>W2_800 T = 950C Ratio C/O = 1,5 t = 30 min</t>
  </si>
  <si>
    <t>W3_800 T = 950C Ratio C/O = 1,5 t = 30 min</t>
  </si>
  <si>
    <r>
      <t xml:space="preserve">Singh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(2023) Dry basis</t>
    </r>
  </si>
  <si>
    <t>Particle size (µm)</t>
  </si>
  <si>
    <r>
      <t xml:space="preserve">Hata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(2009)</t>
    </r>
  </si>
  <si>
    <r>
      <t xml:space="preserve">Luo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(2011)</t>
    </r>
  </si>
  <si>
    <r>
      <t xml:space="preserve">Zuo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(2013)</t>
    </r>
  </si>
  <si>
    <r>
      <t xml:space="preserve">Wang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(2017)</t>
    </r>
  </si>
  <si>
    <r>
      <t>Ore particle size (</t>
    </r>
    <r>
      <rPr>
        <sz val="11"/>
        <color theme="1"/>
        <rFont val="Calibri"/>
        <family val="2"/>
      </rPr>
      <t>µm)</t>
    </r>
  </si>
  <si>
    <t>Ore surface area (m²/g)</t>
  </si>
  <si>
    <t>Ore moisture</t>
  </si>
  <si>
    <t>Densification temperature (°C)</t>
  </si>
  <si>
    <t>Reduction temperature (°C)</t>
  </si>
  <si>
    <t>Inert</t>
  </si>
  <si>
    <t>% Reduced iron</t>
  </si>
  <si>
    <t>Reduction time (min)</t>
  </si>
  <si>
    <t>Densification time (min)</t>
  </si>
  <si>
    <t>Ore porosity</t>
  </si>
  <si>
    <t>Razão C/O = 1 (base úmida). Corrigi para base seca</t>
  </si>
  <si>
    <t>Razão C/O = 1,15 (base úmida). Corrigi para base seca</t>
  </si>
  <si>
    <t>Razão C/O = 1,30 (base úmida). Corrigi para base seca</t>
  </si>
  <si>
    <t>Nitrogen</t>
  </si>
  <si>
    <r>
      <t xml:space="preserve">Rosso Neto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(2024) Dry basis</t>
    </r>
  </si>
  <si>
    <t>Did not show the reduction degree. Three sizes for the iron ore (&lt; 74 micro)</t>
  </si>
  <si>
    <t>(74 micro &lt; &lt; 105 micro)</t>
  </si>
  <si>
    <t>(105 micro &lt;&lt; 149 micro)</t>
  </si>
  <si>
    <r>
      <t xml:space="preserve">Zulkania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(2022) Dry basis</t>
    </r>
  </si>
  <si>
    <t>The paper employed three heating rates (10C/min, 15C/min e 20C/min). I'm using the higher. Employed 9% of molasses as binder</t>
  </si>
  <si>
    <r>
      <t xml:space="preserve">Luo </t>
    </r>
    <r>
      <rPr>
        <i/>
        <sz val="11"/>
        <color theme="1"/>
        <rFont val="Calibri"/>
        <family val="2"/>
        <scheme val="minor"/>
      </rPr>
      <t>et al</t>
    </r>
    <r>
      <rPr>
        <sz val="11"/>
        <color theme="1"/>
        <rFont val="Calibri"/>
        <family val="2"/>
        <scheme val="minor"/>
      </rPr>
      <t>., 2013</t>
    </r>
  </si>
  <si>
    <t>The paper synthesized composite pellets of iron ore and raw biomass</t>
  </si>
  <si>
    <r>
      <t xml:space="preserve">Yuan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(2017)</t>
    </r>
  </si>
  <si>
    <t>Biomass: Straw fiber; C/O ratio = 0,7; Temp. = 600°C; t = 0 min</t>
  </si>
  <si>
    <t>Biomass: Bamboo char; C/O ratio = 0,7; Temp. = 600°C; t = 0 min</t>
  </si>
  <si>
    <t>Biomass: Charcoal; C/O ratio = 0,7; Temp. = 600°C; t = 0 min</t>
  </si>
  <si>
    <t>Biomass: Straw fiber; C/O ratio = 0,7; Temp. = 800°C; t = 0 min</t>
  </si>
  <si>
    <t>Biomass: Bamboo char; C/O ratio = 0,7; Temp. = 800°C; t = 0 min</t>
  </si>
  <si>
    <t>Biomass: Charcoal; C/O ratio = 0,7; Temp. = 800°C; t = 0 min</t>
  </si>
  <si>
    <t>Biomass: Straw fiber; C/O ratio = 0,7; Temp. = 1000°C; t = 0 min</t>
  </si>
  <si>
    <t>Biomass: Bamboo char; C/O ratio = 0,7; Temp. = 1000°C; t = 0 min</t>
  </si>
  <si>
    <t>Biomass: Charcoal; C/O ratio = 0,7; Temp. = 1000°C; t = 0 min</t>
  </si>
  <si>
    <t>Biomass: Straw fiber; C/O ratio = 0,7; Temp. = 1200°C; t = 0 min</t>
  </si>
  <si>
    <t>Biomass: Bamboo char; C/O ratio = 0,7; Temp. = 1200°C; t = 0 min</t>
  </si>
  <si>
    <t>Biomass: Charcoal; C/O ratio = 0,7; Temp. = 1200°C; t = 0 min</t>
  </si>
  <si>
    <t>Biomass: Straw fiber; C/O ratio = 0,7; Temp. = 1300°C; t = 0 min</t>
  </si>
  <si>
    <t>Biomass: Bamboo char; C/O ratio = 0,7; Temp. = 1300°C; t = 0 min</t>
  </si>
  <si>
    <t>Biomass: Charcoal; C/O ratio = 0,7; Temp. = 1300°C; t = 0 min</t>
  </si>
  <si>
    <t>Biomass: Straw fiber; C/O ratio = 0,7; Temp. = 600°C; t = 10 min</t>
  </si>
  <si>
    <t>Biomass: Straw fiber; C/O ratio = 0,7; Temp. = 600°C; t = 20 min</t>
  </si>
  <si>
    <t>Biomass: Straw fiber; C/O ratio = 0,7; Temp. = 600°C; t = 40 min</t>
  </si>
  <si>
    <t>Biomass: Straw fiber; C/O ratio = 0,7; Temp. = 600°C; t = 60 min</t>
  </si>
  <si>
    <t>Biomass: Bamboo char; C/O ratio = 0,7; Temp. = 600°C; t = 10 min</t>
  </si>
  <si>
    <t>Biomass: Bamboo char; C/O ratio = 0,7; Temp. = 600°C; t = 20 min</t>
  </si>
  <si>
    <t>Biomass: Bamboo char; C/O ratio = 0,7; Temp. = 600°C; t = 40 min</t>
  </si>
  <si>
    <t>Biomass: Bamboo char; C/O ratio = 0,7; Temp. = 600°C; t = 60 min</t>
  </si>
  <si>
    <t>Biomass: Charcoal; C/O ratio = 0,7; Temp. = 600°C; t = 10 min</t>
  </si>
  <si>
    <t>Biomass: Charcoal; C/O ratio = 0,7; Temp. = 600°C; t = 20 min</t>
  </si>
  <si>
    <t>Biomass: Charcoal; C/O ratio = 0,7; Temp. = 600°C; t = 40 min</t>
  </si>
  <si>
    <t>Biomass: Charcoal; C/O ratio = 0,7; Temp. = 600°C; t = 60 min</t>
  </si>
  <si>
    <t>Biomass: Straw fiber; C/O ratio = 0,7; Temp. = 800°C; t = 10 min</t>
  </si>
  <si>
    <t>Biomass: Straw fiber; C/O ratio = 0,7; Temp. = 800°C; t = 20 min</t>
  </si>
  <si>
    <t>Biomass: Straw fiber; C/O ratio = 0,7; Temp. = 800°C; t = 40 min</t>
  </si>
  <si>
    <t>Biomass: Straw fiber; C/O ratio = 0,7; Temp. = 800°C; t = 60 min</t>
  </si>
  <si>
    <t>Biomass: Bamboo char; C/O ratio = 0,7; Temp. = 800°C; t = 10 min</t>
  </si>
  <si>
    <t>Biomass: Bamboo char; C/O ratio = 0,7; Temp. = 800°C; t = 20 min</t>
  </si>
  <si>
    <t>Biomass: Bamboo char; C/O ratio = 0,7; Temp. = 800°C; t = 40 min</t>
  </si>
  <si>
    <t>Biomass: Bamboo char; C/O ratio = 0,7; Temp. = 800°C; t = 60 min</t>
  </si>
  <si>
    <t>Biomass: Charcoal; C/O ratio = 0,7; Temp. = 800°C; t = 10 min</t>
  </si>
  <si>
    <t>Biomass: Charcoal; C/O ratio = 0,7; Temp. = 800°C; t = 20 min</t>
  </si>
  <si>
    <t>Biomass: Charcoal; C/O ratio = 0,7; Temp. = 800°C; t = 40 min</t>
  </si>
  <si>
    <t>Biomass: Charcoal; C/O ratio = 0,7; Temp. = 800°C; t = 60 min</t>
  </si>
  <si>
    <t>Biomass: Straw fiber; C/O ratio = 0,7; Temp. = 1000°C; t = 10 min</t>
  </si>
  <si>
    <t>Biomass: Straw fiber; C/O ratio = 0,7; Temp. = 1000°C; t = 20 min</t>
  </si>
  <si>
    <t>Biomass: Straw fiber; C/O ratio = 0,7; Temp. = 1000°C; t = 40 min</t>
  </si>
  <si>
    <t>Biomass: Straw fiber; C/O ratio = 0,7; Temp. = 1000°C; t = 60 min</t>
  </si>
  <si>
    <t>Biomass: Bamboo char; C/O ratio = 0,7; Temp. = 1000°C; t = 10 min</t>
  </si>
  <si>
    <t>Biomass: Bamboo char; C/O ratio = 0,7; Temp. = 1000°C; t = 20 min</t>
  </si>
  <si>
    <t>Biomass: Bamboo char; C/O ratio = 0,7; Temp. = 1000°C; t = 40 min</t>
  </si>
  <si>
    <t>Biomass: Bamboo char; C/O ratio = 0,7; Temp. = 1000°C; t = 60 min</t>
  </si>
  <si>
    <t>Biomass: Charcoal; C/O ratio = 0,7; Temp. = 1000°C; t = 10 min</t>
  </si>
  <si>
    <t>Biomass: Charcoal; C/O ratio = 0,7; Temp. = 1000°C; t = 20 min</t>
  </si>
  <si>
    <t>Biomass: Charcoal; C/O ratio = 0,7; Temp. = 1000°C; t = 40 min</t>
  </si>
  <si>
    <t>Biomass: Charcoal; C/O ratio = 0,7; Temp. = 1000°C; t = 60 min</t>
  </si>
  <si>
    <t>Biomass: Straw fiber; C/O ratio = 0,7; Temp. = 1200°C; t = 10 min</t>
  </si>
  <si>
    <t>Biomass: Straw fiber; C/O ratio = 0,7; Temp. = 1200°C; t = 20 min</t>
  </si>
  <si>
    <t>Biomass: Straw fiber; C/O ratio = 0,7; Temp. = 1200°C; t = 40 min</t>
  </si>
  <si>
    <t>Biomass: Straw fiber; C/O ratio = 0,7; Temp. = 1200°C; t = 60 min</t>
  </si>
  <si>
    <t>Biomass: Bamboo char; C/O ratio = 0,7; Temp. = 1200°C; t = 10 min</t>
  </si>
  <si>
    <t>Biomass: Bamboo char; C/O ratio = 0,7; Temp. = 1200°C; t = 20 min</t>
  </si>
  <si>
    <t>Biomass: Bamboo char; C/O ratio = 0,7; Temp. = 1200°C; t = 40 min</t>
  </si>
  <si>
    <t>Biomass: Bamboo char; C/O ratio = 0,7; Temp. = 1200°C; t = 60 min</t>
  </si>
  <si>
    <t>Biomass: Charcoal; C/O ratio = 0,7; Temp. = 1200°C; t = 10 min</t>
  </si>
  <si>
    <t>Biomass: Charcoal; C/O ratio = 0,7; Temp. = 1200°C; t = 20 min</t>
  </si>
  <si>
    <t>Biomass: Charcoal; C/O ratio = 0,7; Temp. = 1200°C; t = 40 min</t>
  </si>
  <si>
    <t>Biomass: Charcoal; C/O ratio = 0,7; Temp. = 1200°C; t = 60 min</t>
  </si>
  <si>
    <t>Biomass: Straw fiber; C/O ratio = 0,5; Temp. = 1000°C; t = 20 min</t>
  </si>
  <si>
    <t>Biomass: Straw fiber; C/O ratio = 0,9; Temp. = 1000°C; t = 20 min</t>
  </si>
  <si>
    <t>Biomass: Straw fiber; C/O ratio = 1,1; Temp. = 1000°C; t = 20 min</t>
  </si>
  <si>
    <t>Biomass: Bamboo char; C/O ratio = 0,5; Temp. = 1000°C; t = 20 min</t>
  </si>
  <si>
    <t>Biomass: Bamboo char; C/O ratio = 0,9; Temp. = 1000°C; t = 20 min</t>
  </si>
  <si>
    <t>Biomass: Bamboo char; C/O ratio = 1,1; Temp. = 1000°C; t = 20 min</t>
  </si>
  <si>
    <t>Biomass: Charcoal; C/O ratio = 0,5; Temp. = 1000°C; t = 20 min</t>
  </si>
  <si>
    <t>Biomass: Charcoal; C/O ratio = 0,9; Temp. = 1000°C; t = 20 min</t>
  </si>
  <si>
    <t>Biomass: Charcoal; C/O ratio = 1,1; Temp. = 1000°C; t = 20 min</t>
  </si>
  <si>
    <t>Biomass: Straw fiber; C/O ratio = 0,5; Temp. = 1200°C; t = 20 min</t>
  </si>
  <si>
    <t>Biomass: Straw fiber; C/O ratio = 0,9; Temp. = 1200°C; t = 20 min</t>
  </si>
  <si>
    <t>Biomass: Straw fiber; C/O ratio = 1,1; Temp. = 1200°C; t = 20 min</t>
  </si>
  <si>
    <t>Biomass: Bamboo char; C/O ratio = 0,5; Temp. = 1200°C; t = 20 min</t>
  </si>
  <si>
    <t>Biomass: Bamboo char; C/O ratio = 0,9; Temp. = 1200°C; t = 20 min</t>
  </si>
  <si>
    <t>Biomass: Bamboo char; C/O ratio = 1,1; Temp. = 1200°C; t = 20 min</t>
  </si>
  <si>
    <t>Biomass: Charcoal; C/O ratio = 0,5; Temp. = 1200°C; t = 20 min</t>
  </si>
  <si>
    <t>Biomass: Charcoal; C/O ratio = 0,9; Temp. = 1200°C; t = 20 min</t>
  </si>
  <si>
    <t>Biomass: Charcoal; C/O ratio = 1,1; Temp. = 1200°C; t = 20 min</t>
  </si>
  <si>
    <r>
      <t xml:space="preserve">Yunus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(2013)</t>
    </r>
  </si>
  <si>
    <t>This paper calculated the reduction degree by the pellet mass diference</t>
  </si>
  <si>
    <r>
      <t xml:space="preserve">Kowitwarangkul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 (2014)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</si>
</sst>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39"/>
  <sheetViews>
    <sheetView tabSelected="1" topLeftCell="A310" zoomScale="70" zoomScaleNormal="70" workbookViewId="0">
      <selection activeCell="A339" sqref="A339"/>
    </sheetView>
  </sheetViews>
  <sheetFormatPr defaultRowHeight="15" x14ac:dyDescent="0.25"/>
  <cols>
    <col min="1" max="1" width="36.28515625" customWidth="1"/>
    <col min="2" max="2" width="122.85546875" bestFit="1" customWidth="1"/>
    <col min="3" max="3" width="17.28515625" bestFit="1" customWidth="1"/>
    <col min="4" max="4" width="11.7109375" bestFit="1" customWidth="1"/>
    <col min="5" max="5" width="19.7109375" bestFit="1" customWidth="1"/>
    <col min="7" max="7" width="10.5703125" bestFit="1" customWidth="1"/>
    <col min="10" max="10" width="10.5703125" bestFit="1" customWidth="1"/>
    <col min="11" max="11" width="13.85546875" bestFit="1" customWidth="1"/>
    <col min="12" max="12" width="11.7109375" bestFit="1" customWidth="1"/>
    <col min="15" max="15" width="21" bestFit="1" customWidth="1"/>
    <col min="16" max="16" width="11.5703125" bestFit="1" customWidth="1"/>
    <col min="17" max="17" width="12.85546875" bestFit="1" customWidth="1"/>
    <col min="18" max="18" width="23.140625" bestFit="1" customWidth="1"/>
    <col min="19" max="19" width="13.140625" bestFit="1" customWidth="1"/>
    <col min="20" max="20" width="20.85546875" bestFit="1" customWidth="1"/>
    <col min="21" max="21" width="23.140625" bestFit="1" customWidth="1"/>
    <col min="25" max="25" width="13.140625" bestFit="1" customWidth="1"/>
    <col min="26" max="26" width="9.85546875" bestFit="1" customWidth="1"/>
    <col min="27" max="27" width="11.140625" bestFit="1" customWidth="1"/>
    <col min="28" max="28" width="14.7109375" bestFit="1" customWidth="1"/>
    <col min="29" max="29" width="29.7109375" bestFit="1" customWidth="1"/>
    <col min="30" max="30" width="27.28515625" bestFit="1" customWidth="1"/>
    <col min="31" max="31" width="20.5703125" bestFit="1" customWidth="1"/>
    <col min="32" max="32" width="9.7109375" bestFit="1" customWidth="1"/>
    <col min="38" max="38" width="15" bestFit="1" customWidth="1"/>
    <col min="39" max="39" width="16.42578125" bestFit="1" customWidth="1"/>
  </cols>
  <sheetData>
    <row r="1" spans="1:39" x14ac:dyDescent="0.25">
      <c r="A1" s="2" t="s">
        <v>0</v>
      </c>
      <c r="B1" s="2" t="s">
        <v>36</v>
      </c>
      <c r="C1" t="s">
        <v>200</v>
      </c>
      <c r="D1" t="s">
        <v>1</v>
      </c>
      <c r="E1" t="s">
        <v>2</v>
      </c>
      <c r="F1" t="s">
        <v>3</v>
      </c>
      <c r="G1" t="s">
        <v>5</v>
      </c>
      <c r="H1" t="s">
        <v>218</v>
      </c>
      <c r="I1" t="s">
        <v>6</v>
      </c>
      <c r="J1" t="s">
        <v>4</v>
      </c>
      <c r="K1" t="s">
        <v>7</v>
      </c>
      <c r="L1" t="s">
        <v>8</v>
      </c>
      <c r="M1" t="s">
        <v>9</v>
      </c>
      <c r="N1" t="s">
        <v>10</v>
      </c>
      <c r="O1" t="s">
        <v>205</v>
      </c>
      <c r="P1" t="s">
        <v>11</v>
      </c>
      <c r="Q1" t="s">
        <v>214</v>
      </c>
      <c r="R1" t="s">
        <v>206</v>
      </c>
      <c r="S1" t="s">
        <v>207</v>
      </c>
      <c r="T1" t="s">
        <v>45</v>
      </c>
      <c r="U1" t="s">
        <v>213</v>
      </c>
      <c r="V1" t="s">
        <v>12</v>
      </c>
      <c r="W1" t="s">
        <v>16</v>
      </c>
      <c r="X1" t="s">
        <v>128</v>
      </c>
      <c r="Y1" t="s">
        <v>13</v>
      </c>
      <c r="Z1" t="s">
        <v>14</v>
      </c>
      <c r="AA1" t="s">
        <v>15</v>
      </c>
      <c r="AB1" t="s">
        <v>17</v>
      </c>
      <c r="AC1" t="s">
        <v>208</v>
      </c>
      <c r="AD1" t="s">
        <v>209</v>
      </c>
      <c r="AE1" t="s">
        <v>212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210</v>
      </c>
      <c r="AL1" t="s">
        <v>23</v>
      </c>
      <c r="AM1" t="s">
        <v>211</v>
      </c>
    </row>
    <row r="2" spans="1:39" ht="15" customHeight="1" x14ac:dyDescent="0.25">
      <c r="A2" s="3" t="s">
        <v>201</v>
      </c>
      <c r="B2" t="s">
        <v>32</v>
      </c>
      <c r="C2">
        <v>950</v>
      </c>
      <c r="D2" t="s">
        <v>35</v>
      </c>
      <c r="E2" t="s">
        <v>35</v>
      </c>
      <c r="F2">
        <v>0.49830000000000002</v>
      </c>
      <c r="G2">
        <v>6.1800000000000001E-2</v>
      </c>
      <c r="H2">
        <v>0</v>
      </c>
      <c r="I2">
        <v>0</v>
      </c>
      <c r="J2">
        <v>0.43990000000000001</v>
      </c>
      <c r="K2" t="s">
        <v>35</v>
      </c>
      <c r="L2" t="s">
        <v>35</v>
      </c>
      <c r="M2" t="s">
        <v>35</v>
      </c>
      <c r="N2" t="s">
        <v>35</v>
      </c>
      <c r="O2">
        <v>427.5</v>
      </c>
      <c r="P2">
        <v>0.57199999999999995</v>
      </c>
      <c r="Q2">
        <v>0.16700000000000001</v>
      </c>
      <c r="R2">
        <v>77</v>
      </c>
      <c r="S2">
        <v>9.0200000000000002E-2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>
        <v>0</v>
      </c>
      <c r="Z2">
        <v>0</v>
      </c>
      <c r="AA2">
        <v>0</v>
      </c>
      <c r="AB2" t="s">
        <v>35</v>
      </c>
      <c r="AC2">
        <v>20</v>
      </c>
      <c r="AD2">
        <v>900</v>
      </c>
      <c r="AE2">
        <v>120</v>
      </c>
      <c r="AF2">
        <v>1</v>
      </c>
      <c r="AG2">
        <v>8.7999999999999995E-2</v>
      </c>
      <c r="AH2">
        <v>1.54E-2</v>
      </c>
      <c r="AI2">
        <v>0.2099</v>
      </c>
      <c r="AJ2">
        <v>0.12740000000000001</v>
      </c>
      <c r="AK2">
        <f>1-SUM(AG2:AJ2)</f>
        <v>0.55929999999999991</v>
      </c>
      <c r="AL2">
        <f>800*3600/(1000000)</f>
        <v>2.88</v>
      </c>
      <c r="AM2">
        <v>0.1221</v>
      </c>
    </row>
    <row r="3" spans="1:39" x14ac:dyDescent="0.25">
      <c r="A3" s="3" t="s">
        <v>201</v>
      </c>
      <c r="B3" t="s">
        <v>33</v>
      </c>
      <c r="C3">
        <v>950</v>
      </c>
      <c r="D3" t="s">
        <v>35</v>
      </c>
      <c r="E3" t="s">
        <v>35</v>
      </c>
      <c r="F3">
        <v>0.49830000000000002</v>
      </c>
      <c r="G3">
        <v>6.1800000000000001E-2</v>
      </c>
      <c r="H3">
        <v>0</v>
      </c>
      <c r="I3">
        <v>0</v>
      </c>
      <c r="J3">
        <v>0.43990000000000001</v>
      </c>
      <c r="K3" t="s">
        <v>35</v>
      </c>
      <c r="L3" t="s">
        <v>35</v>
      </c>
      <c r="M3" t="s">
        <v>35</v>
      </c>
      <c r="N3" t="s">
        <v>35</v>
      </c>
      <c r="O3">
        <v>427.5</v>
      </c>
      <c r="P3">
        <v>0.56899999999999995</v>
      </c>
      <c r="Q3">
        <v>6.3E-2</v>
      </c>
      <c r="R3">
        <v>20</v>
      </c>
      <c r="S3">
        <v>3.7900000000000003E-2</v>
      </c>
      <c r="T3" t="s">
        <v>35</v>
      </c>
      <c r="U3" t="s">
        <v>35</v>
      </c>
      <c r="V3" t="s">
        <v>35</v>
      </c>
      <c r="W3" t="s">
        <v>35</v>
      </c>
      <c r="X3" t="s">
        <v>35</v>
      </c>
      <c r="Y3">
        <v>0</v>
      </c>
      <c r="Z3">
        <v>0</v>
      </c>
      <c r="AA3">
        <v>0</v>
      </c>
      <c r="AB3" t="s">
        <v>35</v>
      </c>
      <c r="AC3">
        <v>20</v>
      </c>
      <c r="AD3">
        <v>900</v>
      </c>
      <c r="AE3">
        <v>120</v>
      </c>
      <c r="AF3">
        <v>1</v>
      </c>
      <c r="AG3">
        <v>8.7999999999999995E-2</v>
      </c>
      <c r="AH3">
        <v>1.54E-2</v>
      </c>
      <c r="AI3">
        <v>0.2099</v>
      </c>
      <c r="AJ3">
        <v>0.12740000000000001</v>
      </c>
      <c r="AK3">
        <f t="shared" ref="AK3:AK4" si="0">1-SUM(AG3:AJ3)</f>
        <v>0.55929999999999991</v>
      </c>
      <c r="AL3">
        <f t="shared" ref="AL3:AL4" si="1">800*3600/(1000000)</f>
        <v>2.88</v>
      </c>
      <c r="AM3" t="s">
        <v>35</v>
      </c>
    </row>
    <row r="4" spans="1:39" x14ac:dyDescent="0.25">
      <c r="A4" s="3" t="s">
        <v>201</v>
      </c>
      <c r="B4" t="s">
        <v>34</v>
      </c>
      <c r="C4">
        <v>950</v>
      </c>
      <c r="D4" t="s">
        <v>35</v>
      </c>
      <c r="E4" t="s">
        <v>35</v>
      </c>
      <c r="F4">
        <v>0.49830000000000002</v>
      </c>
      <c r="G4">
        <v>6.1800000000000001E-2</v>
      </c>
      <c r="H4">
        <v>0</v>
      </c>
      <c r="I4">
        <v>0</v>
      </c>
      <c r="J4">
        <v>0.43990000000000001</v>
      </c>
      <c r="K4" t="s">
        <v>35</v>
      </c>
      <c r="L4" t="s">
        <v>35</v>
      </c>
      <c r="M4" t="s">
        <v>35</v>
      </c>
      <c r="N4" t="s">
        <v>35</v>
      </c>
      <c r="O4">
        <v>427.5</v>
      </c>
      <c r="P4">
        <v>0.67600000000000005</v>
      </c>
      <c r="Q4">
        <v>6.8000000000000005E-2</v>
      </c>
      <c r="R4">
        <v>2</v>
      </c>
      <c r="S4">
        <v>1.5900000000000001E-2</v>
      </c>
      <c r="T4" t="s">
        <v>35</v>
      </c>
      <c r="U4" t="s">
        <v>35</v>
      </c>
      <c r="V4" t="s">
        <v>35</v>
      </c>
      <c r="W4" t="s">
        <v>35</v>
      </c>
      <c r="X4" t="s">
        <v>35</v>
      </c>
      <c r="Y4">
        <v>0</v>
      </c>
      <c r="Z4">
        <v>0</v>
      </c>
      <c r="AA4">
        <v>0</v>
      </c>
      <c r="AB4" t="s">
        <v>35</v>
      </c>
      <c r="AC4">
        <v>20</v>
      </c>
      <c r="AD4">
        <v>900</v>
      </c>
      <c r="AE4">
        <v>120</v>
      </c>
      <c r="AF4">
        <v>1</v>
      </c>
      <c r="AG4">
        <v>8.7999999999999995E-2</v>
      </c>
      <c r="AH4">
        <v>1.54E-2</v>
      </c>
      <c r="AI4">
        <v>0.2099</v>
      </c>
      <c r="AJ4">
        <v>0.12740000000000001</v>
      </c>
      <c r="AK4">
        <f t="shared" si="0"/>
        <v>0.55929999999999991</v>
      </c>
      <c r="AL4">
        <f t="shared" si="1"/>
        <v>2.88</v>
      </c>
      <c r="AM4" t="s">
        <v>35</v>
      </c>
    </row>
    <row r="5" spans="1:39" x14ac:dyDescent="0.25">
      <c r="A5" s="3" t="s">
        <v>202</v>
      </c>
      <c r="B5" t="s">
        <v>37</v>
      </c>
      <c r="C5">
        <v>160.4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0.106</v>
      </c>
      <c r="M5" t="s">
        <v>35</v>
      </c>
      <c r="N5" t="s">
        <v>35</v>
      </c>
      <c r="O5">
        <v>44.813600000000001</v>
      </c>
      <c r="P5">
        <v>0.65210000000000001</v>
      </c>
      <c r="Q5" t="s">
        <v>35</v>
      </c>
      <c r="R5" t="s">
        <v>35</v>
      </c>
      <c r="S5" t="s">
        <v>35</v>
      </c>
      <c r="T5">
        <v>49.033000000000001</v>
      </c>
      <c r="U5" t="s">
        <v>35</v>
      </c>
      <c r="V5">
        <v>0.86860000000000004</v>
      </c>
      <c r="W5">
        <v>0</v>
      </c>
      <c r="X5">
        <v>0.93459999999999999</v>
      </c>
      <c r="Y5" t="s">
        <v>35</v>
      </c>
      <c r="Z5">
        <v>1.8700000000000001E-2</v>
      </c>
      <c r="AA5">
        <v>4.6699999999999998E-2</v>
      </c>
      <c r="AB5" t="s">
        <v>35</v>
      </c>
      <c r="AC5">
        <v>20</v>
      </c>
      <c r="AD5">
        <v>1000</v>
      </c>
      <c r="AE5">
        <v>60</v>
      </c>
      <c r="AF5">
        <v>1</v>
      </c>
      <c r="AG5">
        <v>0.5</v>
      </c>
      <c r="AH5">
        <v>0.2</v>
      </c>
      <c r="AI5" t="s">
        <v>35</v>
      </c>
      <c r="AJ5" t="s">
        <v>35</v>
      </c>
      <c r="AK5" t="s">
        <v>35</v>
      </c>
      <c r="AL5">
        <f>2*60/1000</f>
        <v>0.12</v>
      </c>
      <c r="AM5">
        <v>0.73180000000000001</v>
      </c>
    </row>
    <row r="6" spans="1:39" x14ac:dyDescent="0.25">
      <c r="A6" s="3" t="s">
        <v>202</v>
      </c>
      <c r="B6" t="s">
        <v>38</v>
      </c>
      <c r="C6">
        <v>160.4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0.106</v>
      </c>
      <c r="M6" t="s">
        <v>35</v>
      </c>
      <c r="N6" t="s">
        <v>35</v>
      </c>
      <c r="O6">
        <v>44.813600000000001</v>
      </c>
      <c r="P6">
        <v>0.65210000000000001</v>
      </c>
      <c r="Q6" t="s">
        <v>35</v>
      </c>
      <c r="R6" t="s">
        <v>35</v>
      </c>
      <c r="S6" t="s">
        <v>35</v>
      </c>
      <c r="T6">
        <v>49.033000000000001</v>
      </c>
      <c r="U6" t="s">
        <v>35</v>
      </c>
      <c r="V6">
        <v>0.86860000000000004</v>
      </c>
      <c r="W6">
        <v>4.6699999999999998E-2</v>
      </c>
      <c r="X6">
        <v>0.88790000000000002</v>
      </c>
      <c r="Y6" t="s">
        <v>35</v>
      </c>
      <c r="Z6">
        <v>1.8700000000000001E-2</v>
      </c>
      <c r="AA6">
        <v>4.6699999999999998E-2</v>
      </c>
      <c r="AB6" t="s">
        <v>35</v>
      </c>
      <c r="AC6">
        <v>20</v>
      </c>
      <c r="AD6">
        <v>1000</v>
      </c>
      <c r="AE6">
        <v>60</v>
      </c>
      <c r="AF6">
        <v>1</v>
      </c>
      <c r="AG6">
        <v>0.5</v>
      </c>
      <c r="AH6">
        <v>0.2</v>
      </c>
      <c r="AI6" t="s">
        <v>35</v>
      </c>
      <c r="AJ6" t="s">
        <v>35</v>
      </c>
      <c r="AK6" t="s">
        <v>35</v>
      </c>
      <c r="AL6">
        <f t="shared" ref="AL6:AL27" si="2">2*60/1000</f>
        <v>0.12</v>
      </c>
      <c r="AM6">
        <v>0.80159999999999998</v>
      </c>
    </row>
    <row r="7" spans="1:39" x14ac:dyDescent="0.25">
      <c r="A7" s="3" t="s">
        <v>202</v>
      </c>
      <c r="B7" t="s">
        <v>39</v>
      </c>
      <c r="C7">
        <v>160.4</v>
      </c>
      <c r="D7" t="s">
        <v>35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>
        <v>0.106</v>
      </c>
      <c r="M7" t="s">
        <v>35</v>
      </c>
      <c r="N7" t="s">
        <v>35</v>
      </c>
      <c r="O7">
        <v>44.813600000000001</v>
      </c>
      <c r="P7">
        <v>0.65210000000000001</v>
      </c>
      <c r="Q7" t="s">
        <v>35</v>
      </c>
      <c r="R7" t="s">
        <v>35</v>
      </c>
      <c r="S7" t="s">
        <v>35</v>
      </c>
      <c r="T7">
        <v>49.033000000000001</v>
      </c>
      <c r="U7" t="s">
        <v>35</v>
      </c>
      <c r="V7">
        <v>0.86860000000000004</v>
      </c>
      <c r="W7">
        <v>9.5299999999999996E-2</v>
      </c>
      <c r="X7">
        <v>0.84109999999999996</v>
      </c>
      <c r="Y7" t="s">
        <v>35</v>
      </c>
      <c r="Z7">
        <v>1.8700000000000001E-2</v>
      </c>
      <c r="AA7">
        <v>4.6699999999999998E-2</v>
      </c>
      <c r="AB7" t="s">
        <v>35</v>
      </c>
      <c r="AC7">
        <v>20</v>
      </c>
      <c r="AD7">
        <v>1000</v>
      </c>
      <c r="AE7">
        <v>60</v>
      </c>
      <c r="AF7">
        <v>1</v>
      </c>
      <c r="AG7">
        <v>0.5</v>
      </c>
      <c r="AH7">
        <v>0.2</v>
      </c>
      <c r="AI7" t="s">
        <v>35</v>
      </c>
      <c r="AJ7" t="s">
        <v>35</v>
      </c>
      <c r="AK7" t="s">
        <v>35</v>
      </c>
      <c r="AL7">
        <f t="shared" si="2"/>
        <v>0.12</v>
      </c>
      <c r="AM7">
        <v>0.8175</v>
      </c>
    </row>
    <row r="8" spans="1:39" x14ac:dyDescent="0.25">
      <c r="A8" s="3" t="s">
        <v>202</v>
      </c>
      <c r="B8" t="s">
        <v>46</v>
      </c>
      <c r="C8">
        <v>160.4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0.106</v>
      </c>
      <c r="M8" t="s">
        <v>35</v>
      </c>
      <c r="N8" t="s">
        <v>35</v>
      </c>
      <c r="O8">
        <v>44.813600000000001</v>
      </c>
      <c r="P8">
        <v>0.65210000000000001</v>
      </c>
      <c r="Q8" t="s">
        <v>35</v>
      </c>
      <c r="R8" t="s">
        <v>35</v>
      </c>
      <c r="S8" t="s">
        <v>35</v>
      </c>
      <c r="T8">
        <v>49.033000000000001</v>
      </c>
      <c r="U8" t="s">
        <v>35</v>
      </c>
      <c r="V8">
        <v>0.86860000000000004</v>
      </c>
      <c r="W8">
        <v>0.14019999999999999</v>
      </c>
      <c r="X8">
        <v>0.7944</v>
      </c>
      <c r="Y8" t="s">
        <v>35</v>
      </c>
      <c r="Z8">
        <v>1.8700000000000001E-2</v>
      </c>
      <c r="AA8">
        <v>4.6699999999999998E-2</v>
      </c>
      <c r="AB8" t="s">
        <v>35</v>
      </c>
      <c r="AC8">
        <v>20</v>
      </c>
      <c r="AD8">
        <v>900</v>
      </c>
      <c r="AE8">
        <v>30</v>
      </c>
      <c r="AF8">
        <v>1</v>
      </c>
      <c r="AG8">
        <v>0.5</v>
      </c>
      <c r="AH8">
        <v>0.2</v>
      </c>
      <c r="AI8" t="s">
        <v>35</v>
      </c>
      <c r="AJ8" t="s">
        <v>35</v>
      </c>
      <c r="AK8" t="s">
        <v>35</v>
      </c>
      <c r="AL8">
        <f t="shared" si="2"/>
        <v>0.12</v>
      </c>
      <c r="AM8">
        <v>0.72499999999999998</v>
      </c>
    </row>
    <row r="9" spans="1:39" x14ac:dyDescent="0.25">
      <c r="A9" s="3" t="s">
        <v>202</v>
      </c>
      <c r="B9" t="s">
        <v>47</v>
      </c>
      <c r="C9">
        <v>160.4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0.106</v>
      </c>
      <c r="M9" t="s">
        <v>35</v>
      </c>
      <c r="N9" t="s">
        <v>35</v>
      </c>
      <c r="O9">
        <v>44.813600000000001</v>
      </c>
      <c r="P9">
        <v>0.65210000000000001</v>
      </c>
      <c r="Q9" t="s">
        <v>35</v>
      </c>
      <c r="R9" t="s">
        <v>35</v>
      </c>
      <c r="S9" t="s">
        <v>35</v>
      </c>
      <c r="T9">
        <v>49.033000000000001</v>
      </c>
      <c r="U9" t="s">
        <v>35</v>
      </c>
      <c r="V9">
        <v>0.86860000000000004</v>
      </c>
      <c r="W9">
        <v>0.14019999999999999</v>
      </c>
      <c r="X9">
        <v>0.7944</v>
      </c>
      <c r="Y9" t="s">
        <v>35</v>
      </c>
      <c r="Z9">
        <v>1.8700000000000001E-2</v>
      </c>
      <c r="AA9">
        <v>4.6699999999999998E-2</v>
      </c>
      <c r="AB9" t="s">
        <v>35</v>
      </c>
      <c r="AC9">
        <v>20</v>
      </c>
      <c r="AD9">
        <v>900</v>
      </c>
      <c r="AE9">
        <v>45</v>
      </c>
      <c r="AF9">
        <v>1</v>
      </c>
      <c r="AG9">
        <v>0.5</v>
      </c>
      <c r="AH9">
        <v>0.2</v>
      </c>
      <c r="AI9" t="s">
        <v>35</v>
      </c>
      <c r="AJ9" t="s">
        <v>35</v>
      </c>
      <c r="AK9" t="s">
        <v>35</v>
      </c>
      <c r="AL9">
        <f t="shared" si="2"/>
        <v>0.12</v>
      </c>
      <c r="AM9">
        <v>0.75</v>
      </c>
    </row>
    <row r="10" spans="1:39" x14ac:dyDescent="0.25">
      <c r="A10" s="3" t="s">
        <v>202</v>
      </c>
      <c r="B10" t="s">
        <v>48</v>
      </c>
      <c r="C10">
        <v>160.4</v>
      </c>
      <c r="D10" t="s">
        <v>35</v>
      </c>
      <c r="E10" t="s">
        <v>35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35</v>
      </c>
      <c r="L10">
        <v>0.106</v>
      </c>
      <c r="M10" t="s">
        <v>35</v>
      </c>
      <c r="N10" t="s">
        <v>35</v>
      </c>
      <c r="O10">
        <v>44.813600000000001</v>
      </c>
      <c r="P10">
        <v>0.65210000000000001</v>
      </c>
      <c r="Q10" t="s">
        <v>35</v>
      </c>
      <c r="R10" t="s">
        <v>35</v>
      </c>
      <c r="S10" t="s">
        <v>35</v>
      </c>
      <c r="T10">
        <v>49.033000000000001</v>
      </c>
      <c r="U10" t="s">
        <v>35</v>
      </c>
      <c r="V10">
        <v>0.86860000000000004</v>
      </c>
      <c r="W10">
        <v>0.14019999999999999</v>
      </c>
      <c r="X10">
        <v>0.7944</v>
      </c>
      <c r="Y10" t="s">
        <v>35</v>
      </c>
      <c r="Z10">
        <v>1.8700000000000001E-2</v>
      </c>
      <c r="AA10">
        <v>4.6699999999999998E-2</v>
      </c>
      <c r="AB10" t="s">
        <v>35</v>
      </c>
      <c r="AC10">
        <v>20</v>
      </c>
      <c r="AD10">
        <v>900</v>
      </c>
      <c r="AE10">
        <v>60</v>
      </c>
      <c r="AF10">
        <v>1</v>
      </c>
      <c r="AG10">
        <v>0.5</v>
      </c>
      <c r="AH10">
        <v>0.2</v>
      </c>
      <c r="AI10" t="s">
        <v>35</v>
      </c>
      <c r="AJ10" t="s">
        <v>35</v>
      </c>
      <c r="AK10" t="s">
        <v>35</v>
      </c>
      <c r="AL10">
        <f t="shared" si="2"/>
        <v>0.12</v>
      </c>
      <c r="AM10">
        <v>0.77500000000000002</v>
      </c>
    </row>
    <row r="11" spans="1:39" x14ac:dyDescent="0.25">
      <c r="A11" s="3" t="s">
        <v>202</v>
      </c>
      <c r="B11" t="s">
        <v>49</v>
      </c>
      <c r="C11">
        <v>160.4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0.106</v>
      </c>
      <c r="M11" t="s">
        <v>35</v>
      </c>
      <c r="N11" t="s">
        <v>35</v>
      </c>
      <c r="O11">
        <v>44.813600000000001</v>
      </c>
      <c r="P11">
        <v>0.65210000000000001</v>
      </c>
      <c r="Q11" t="s">
        <v>35</v>
      </c>
      <c r="R11" t="s">
        <v>35</v>
      </c>
      <c r="S11" t="s">
        <v>35</v>
      </c>
      <c r="T11">
        <v>49.033000000000001</v>
      </c>
      <c r="U11" t="s">
        <v>35</v>
      </c>
      <c r="V11">
        <v>0.86860000000000004</v>
      </c>
      <c r="W11">
        <v>0.14019999999999999</v>
      </c>
      <c r="X11">
        <v>0.7944</v>
      </c>
      <c r="Y11" t="s">
        <v>35</v>
      </c>
      <c r="Z11">
        <v>1.8700000000000001E-2</v>
      </c>
      <c r="AA11">
        <v>4.6699999999999998E-2</v>
      </c>
      <c r="AB11" t="s">
        <v>35</v>
      </c>
      <c r="AC11">
        <v>20</v>
      </c>
      <c r="AD11">
        <v>950</v>
      </c>
      <c r="AE11">
        <v>30</v>
      </c>
      <c r="AF11">
        <v>1</v>
      </c>
      <c r="AG11">
        <v>0.5</v>
      </c>
      <c r="AH11">
        <v>0.2</v>
      </c>
      <c r="AI11" t="s">
        <v>35</v>
      </c>
      <c r="AJ11" t="s">
        <v>35</v>
      </c>
      <c r="AK11" t="s">
        <v>35</v>
      </c>
      <c r="AL11">
        <f t="shared" si="2"/>
        <v>0.12</v>
      </c>
      <c r="AM11">
        <v>0.76</v>
      </c>
    </row>
    <row r="12" spans="1:39" x14ac:dyDescent="0.25">
      <c r="A12" s="3" t="s">
        <v>202</v>
      </c>
      <c r="B12" t="s">
        <v>50</v>
      </c>
      <c r="C12">
        <v>160.4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0.106</v>
      </c>
      <c r="M12" t="s">
        <v>35</v>
      </c>
      <c r="N12" t="s">
        <v>35</v>
      </c>
      <c r="O12">
        <v>44.813600000000001</v>
      </c>
      <c r="P12">
        <v>0.65210000000000001</v>
      </c>
      <c r="Q12" t="s">
        <v>35</v>
      </c>
      <c r="R12" t="s">
        <v>35</v>
      </c>
      <c r="S12" t="s">
        <v>35</v>
      </c>
      <c r="T12">
        <v>49.033000000000001</v>
      </c>
      <c r="U12" t="s">
        <v>35</v>
      </c>
      <c r="V12">
        <v>0.86860000000000004</v>
      </c>
      <c r="W12">
        <v>0.14019999999999999</v>
      </c>
      <c r="X12">
        <v>0.7944</v>
      </c>
      <c r="Y12" t="s">
        <v>35</v>
      </c>
      <c r="Z12">
        <v>1.8700000000000001E-2</v>
      </c>
      <c r="AA12">
        <v>4.6699999999999998E-2</v>
      </c>
      <c r="AB12" t="s">
        <v>35</v>
      </c>
      <c r="AC12">
        <v>20</v>
      </c>
      <c r="AD12">
        <v>950</v>
      </c>
      <c r="AE12">
        <v>45</v>
      </c>
      <c r="AF12">
        <v>1</v>
      </c>
      <c r="AG12">
        <v>0.5</v>
      </c>
      <c r="AH12">
        <v>0.2</v>
      </c>
      <c r="AI12" t="s">
        <v>35</v>
      </c>
      <c r="AJ12" t="s">
        <v>35</v>
      </c>
      <c r="AK12" t="s">
        <v>35</v>
      </c>
      <c r="AL12">
        <f t="shared" si="2"/>
        <v>0.12</v>
      </c>
      <c r="AM12">
        <v>0.78</v>
      </c>
    </row>
    <row r="13" spans="1:39" x14ac:dyDescent="0.25">
      <c r="A13" s="3" t="s">
        <v>202</v>
      </c>
      <c r="B13" t="s">
        <v>51</v>
      </c>
      <c r="C13">
        <v>160.4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35</v>
      </c>
      <c r="J13" t="s">
        <v>35</v>
      </c>
      <c r="K13" t="s">
        <v>35</v>
      </c>
      <c r="L13">
        <v>0.106</v>
      </c>
      <c r="M13" t="s">
        <v>35</v>
      </c>
      <c r="N13" t="s">
        <v>35</v>
      </c>
      <c r="O13">
        <v>44.813600000000001</v>
      </c>
      <c r="P13">
        <v>0.65210000000000001</v>
      </c>
      <c r="Q13" t="s">
        <v>35</v>
      </c>
      <c r="R13" t="s">
        <v>35</v>
      </c>
      <c r="S13" t="s">
        <v>35</v>
      </c>
      <c r="T13">
        <v>49.033000000000001</v>
      </c>
      <c r="U13" t="s">
        <v>35</v>
      </c>
      <c r="V13">
        <v>0.86860000000000004</v>
      </c>
      <c r="W13">
        <v>0.14019999999999999</v>
      </c>
      <c r="X13">
        <v>0.7944</v>
      </c>
      <c r="Y13" t="s">
        <v>35</v>
      </c>
      <c r="Z13">
        <v>1.8700000000000001E-2</v>
      </c>
      <c r="AA13">
        <v>4.6699999999999998E-2</v>
      </c>
      <c r="AB13" t="s">
        <v>35</v>
      </c>
      <c r="AC13">
        <v>20</v>
      </c>
      <c r="AD13">
        <v>950</v>
      </c>
      <c r="AE13">
        <v>60</v>
      </c>
      <c r="AF13">
        <v>1</v>
      </c>
      <c r="AG13">
        <v>0.5</v>
      </c>
      <c r="AH13">
        <v>0.2</v>
      </c>
      <c r="AI13" t="s">
        <v>35</v>
      </c>
      <c r="AJ13" t="s">
        <v>35</v>
      </c>
      <c r="AK13" t="s">
        <v>35</v>
      </c>
      <c r="AL13">
        <f t="shared" si="2"/>
        <v>0.12</v>
      </c>
      <c r="AM13">
        <v>0.79</v>
      </c>
    </row>
    <row r="14" spans="1:39" x14ac:dyDescent="0.25">
      <c r="A14" s="3" t="s">
        <v>202</v>
      </c>
      <c r="B14" t="s">
        <v>52</v>
      </c>
      <c r="C14">
        <v>160.4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0.106</v>
      </c>
      <c r="M14" t="s">
        <v>35</v>
      </c>
      <c r="N14" t="s">
        <v>35</v>
      </c>
      <c r="O14">
        <v>44.813600000000001</v>
      </c>
      <c r="P14">
        <v>0.65210000000000001</v>
      </c>
      <c r="Q14" t="s">
        <v>35</v>
      </c>
      <c r="R14" t="s">
        <v>35</v>
      </c>
      <c r="S14" t="s">
        <v>35</v>
      </c>
      <c r="T14">
        <v>49.033000000000001</v>
      </c>
      <c r="U14" t="s">
        <v>35</v>
      </c>
      <c r="V14">
        <v>0.86860000000000004</v>
      </c>
      <c r="W14">
        <v>0.14019999999999999</v>
      </c>
      <c r="X14">
        <v>0.7944</v>
      </c>
      <c r="Y14" t="s">
        <v>35</v>
      </c>
      <c r="Z14">
        <v>1.8700000000000001E-2</v>
      </c>
      <c r="AA14">
        <v>4.6699999999999998E-2</v>
      </c>
      <c r="AB14" t="s">
        <v>35</v>
      </c>
      <c r="AC14">
        <v>20</v>
      </c>
      <c r="AD14">
        <v>1000</v>
      </c>
      <c r="AE14">
        <v>30</v>
      </c>
      <c r="AF14">
        <v>1</v>
      </c>
      <c r="AG14">
        <v>0.5</v>
      </c>
      <c r="AH14">
        <v>0.2</v>
      </c>
      <c r="AI14" t="s">
        <v>35</v>
      </c>
      <c r="AJ14" t="s">
        <v>35</v>
      </c>
      <c r="AK14" t="s">
        <v>35</v>
      </c>
      <c r="AL14">
        <f t="shared" si="2"/>
        <v>0.12</v>
      </c>
      <c r="AM14">
        <v>0.78</v>
      </c>
    </row>
    <row r="15" spans="1:39" x14ac:dyDescent="0.25">
      <c r="A15" s="3" t="s">
        <v>202</v>
      </c>
      <c r="B15" t="s">
        <v>53</v>
      </c>
      <c r="C15">
        <v>160.4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0.106</v>
      </c>
      <c r="M15" t="s">
        <v>35</v>
      </c>
      <c r="N15" t="s">
        <v>35</v>
      </c>
      <c r="O15">
        <v>44.813600000000001</v>
      </c>
      <c r="P15">
        <v>0.65210000000000001</v>
      </c>
      <c r="Q15" t="s">
        <v>35</v>
      </c>
      <c r="R15" t="s">
        <v>35</v>
      </c>
      <c r="S15" t="s">
        <v>35</v>
      </c>
      <c r="T15">
        <v>49.033000000000001</v>
      </c>
      <c r="U15" t="s">
        <v>35</v>
      </c>
      <c r="V15">
        <v>0.86860000000000004</v>
      </c>
      <c r="W15">
        <v>0.14019999999999999</v>
      </c>
      <c r="X15">
        <v>0.7944</v>
      </c>
      <c r="Y15" t="s">
        <v>35</v>
      </c>
      <c r="Z15">
        <v>1.8700000000000001E-2</v>
      </c>
      <c r="AA15">
        <v>4.6699999999999998E-2</v>
      </c>
      <c r="AB15" t="s">
        <v>35</v>
      </c>
      <c r="AC15">
        <v>20</v>
      </c>
      <c r="AD15">
        <v>1000</v>
      </c>
      <c r="AE15">
        <v>45</v>
      </c>
      <c r="AF15">
        <v>1</v>
      </c>
      <c r="AG15">
        <v>0.5</v>
      </c>
      <c r="AH15">
        <v>0.2</v>
      </c>
      <c r="AI15" t="s">
        <v>35</v>
      </c>
      <c r="AJ15" t="s">
        <v>35</v>
      </c>
      <c r="AK15" t="s">
        <v>35</v>
      </c>
      <c r="AL15">
        <f t="shared" si="2"/>
        <v>0.12</v>
      </c>
      <c r="AM15">
        <v>0.8</v>
      </c>
    </row>
    <row r="16" spans="1:39" x14ac:dyDescent="0.25">
      <c r="A16" s="3" t="s">
        <v>202</v>
      </c>
      <c r="B16" t="s">
        <v>54</v>
      </c>
      <c r="C16">
        <v>160.4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  <c r="I16" t="s">
        <v>35</v>
      </c>
      <c r="J16" t="s">
        <v>35</v>
      </c>
      <c r="K16" t="s">
        <v>35</v>
      </c>
      <c r="L16">
        <v>0.106</v>
      </c>
      <c r="M16" t="s">
        <v>35</v>
      </c>
      <c r="N16" t="s">
        <v>35</v>
      </c>
      <c r="O16">
        <v>44.813600000000001</v>
      </c>
      <c r="P16">
        <v>0.65210000000000001</v>
      </c>
      <c r="Q16" t="s">
        <v>35</v>
      </c>
      <c r="R16" t="s">
        <v>35</v>
      </c>
      <c r="S16" t="s">
        <v>35</v>
      </c>
      <c r="T16">
        <v>49.033000000000001</v>
      </c>
      <c r="U16" t="s">
        <v>35</v>
      </c>
      <c r="V16">
        <v>0.86860000000000004</v>
      </c>
      <c r="W16">
        <v>0.14019999999999999</v>
      </c>
      <c r="X16">
        <v>0.7944</v>
      </c>
      <c r="Y16" t="s">
        <v>35</v>
      </c>
      <c r="Z16">
        <v>1.8700000000000001E-2</v>
      </c>
      <c r="AA16">
        <v>4.6699999999999998E-2</v>
      </c>
      <c r="AB16" t="s">
        <v>35</v>
      </c>
      <c r="AC16">
        <v>20</v>
      </c>
      <c r="AD16">
        <v>1000</v>
      </c>
      <c r="AE16">
        <v>60</v>
      </c>
      <c r="AF16">
        <v>1</v>
      </c>
      <c r="AG16">
        <v>0.5</v>
      </c>
      <c r="AH16">
        <v>0.2</v>
      </c>
      <c r="AI16" t="s">
        <v>35</v>
      </c>
      <c r="AJ16" t="s">
        <v>35</v>
      </c>
      <c r="AK16" t="s">
        <v>35</v>
      </c>
      <c r="AL16">
        <f t="shared" si="2"/>
        <v>0.12</v>
      </c>
      <c r="AM16">
        <v>0.83140000000000003</v>
      </c>
    </row>
    <row r="17" spans="1:39" x14ac:dyDescent="0.25">
      <c r="A17" s="3" t="s">
        <v>202</v>
      </c>
      <c r="B17" t="s">
        <v>56</v>
      </c>
      <c r="C17">
        <v>160.4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0.106</v>
      </c>
      <c r="M17" t="s">
        <v>35</v>
      </c>
      <c r="N17" t="s">
        <v>35</v>
      </c>
      <c r="O17">
        <v>44.813600000000001</v>
      </c>
      <c r="P17">
        <v>0.65210000000000001</v>
      </c>
      <c r="Q17" t="s">
        <v>35</v>
      </c>
      <c r="R17" t="s">
        <v>35</v>
      </c>
      <c r="S17" t="s">
        <v>35</v>
      </c>
      <c r="T17">
        <v>49.033000000000001</v>
      </c>
      <c r="U17" t="s">
        <v>35</v>
      </c>
      <c r="V17">
        <v>0.86860000000000004</v>
      </c>
      <c r="W17">
        <v>0.14019999999999999</v>
      </c>
      <c r="X17">
        <v>0.7944</v>
      </c>
      <c r="Y17" t="s">
        <v>35</v>
      </c>
      <c r="Z17">
        <v>1.8700000000000001E-2</v>
      </c>
      <c r="AA17">
        <v>4.6699999999999998E-2</v>
      </c>
      <c r="AB17" t="s">
        <v>35</v>
      </c>
      <c r="AC17">
        <v>20</v>
      </c>
      <c r="AD17">
        <v>1050</v>
      </c>
      <c r="AE17">
        <v>30</v>
      </c>
      <c r="AF17">
        <v>1</v>
      </c>
      <c r="AG17">
        <v>0.5</v>
      </c>
      <c r="AH17">
        <v>0.2</v>
      </c>
      <c r="AI17" t="s">
        <v>35</v>
      </c>
      <c r="AJ17" t="s">
        <v>35</v>
      </c>
      <c r="AK17" t="s">
        <v>35</v>
      </c>
      <c r="AL17">
        <f t="shared" si="2"/>
        <v>0.12</v>
      </c>
      <c r="AM17">
        <v>0.83</v>
      </c>
    </row>
    <row r="18" spans="1:39" x14ac:dyDescent="0.25">
      <c r="A18" s="3" t="s">
        <v>202</v>
      </c>
      <c r="B18" t="s">
        <v>55</v>
      </c>
      <c r="C18">
        <v>160.4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0.106</v>
      </c>
      <c r="M18" t="s">
        <v>35</v>
      </c>
      <c r="N18" t="s">
        <v>35</v>
      </c>
      <c r="O18">
        <v>44.813600000000001</v>
      </c>
      <c r="P18">
        <v>0.65210000000000001</v>
      </c>
      <c r="Q18" t="s">
        <v>35</v>
      </c>
      <c r="R18" t="s">
        <v>35</v>
      </c>
      <c r="S18" t="s">
        <v>35</v>
      </c>
      <c r="T18">
        <v>49.033000000000001</v>
      </c>
      <c r="U18" t="s">
        <v>35</v>
      </c>
      <c r="V18">
        <v>0.86860000000000004</v>
      </c>
      <c r="W18">
        <v>0.14019999999999999</v>
      </c>
      <c r="X18">
        <v>0.7944</v>
      </c>
      <c r="Y18" t="s">
        <v>35</v>
      </c>
      <c r="Z18">
        <v>1.8700000000000001E-2</v>
      </c>
      <c r="AA18">
        <v>4.6699999999999998E-2</v>
      </c>
      <c r="AB18" t="s">
        <v>35</v>
      </c>
      <c r="AC18">
        <v>20</v>
      </c>
      <c r="AD18">
        <v>1050</v>
      </c>
      <c r="AE18">
        <v>45</v>
      </c>
      <c r="AF18">
        <v>1</v>
      </c>
      <c r="AG18">
        <v>0.5</v>
      </c>
      <c r="AH18">
        <v>0.2</v>
      </c>
      <c r="AI18" t="s">
        <v>35</v>
      </c>
      <c r="AJ18" t="s">
        <v>35</v>
      </c>
      <c r="AK18" t="s">
        <v>35</v>
      </c>
      <c r="AL18">
        <f t="shared" si="2"/>
        <v>0.12</v>
      </c>
      <c r="AM18">
        <v>0.85</v>
      </c>
    </row>
    <row r="19" spans="1:39" x14ac:dyDescent="0.25">
      <c r="A19" s="3" t="s">
        <v>202</v>
      </c>
      <c r="B19" t="s">
        <v>57</v>
      </c>
      <c r="C19">
        <v>160.4</v>
      </c>
      <c r="D19" t="s">
        <v>35</v>
      </c>
      <c r="E19" t="s">
        <v>35</v>
      </c>
      <c r="F19" t="s">
        <v>35</v>
      </c>
      <c r="G19" t="s">
        <v>35</v>
      </c>
      <c r="H19" t="s">
        <v>35</v>
      </c>
      <c r="I19" t="s">
        <v>35</v>
      </c>
      <c r="J19" t="s">
        <v>35</v>
      </c>
      <c r="K19" t="s">
        <v>35</v>
      </c>
      <c r="L19">
        <v>0.106</v>
      </c>
      <c r="M19" t="s">
        <v>35</v>
      </c>
      <c r="N19" t="s">
        <v>35</v>
      </c>
      <c r="O19">
        <v>44.813600000000001</v>
      </c>
      <c r="P19">
        <v>0.65210000000000001</v>
      </c>
      <c r="Q19" t="s">
        <v>35</v>
      </c>
      <c r="R19" t="s">
        <v>35</v>
      </c>
      <c r="S19" t="s">
        <v>35</v>
      </c>
      <c r="T19">
        <v>49.033000000000001</v>
      </c>
      <c r="U19" t="s">
        <v>35</v>
      </c>
      <c r="V19">
        <v>0.86860000000000004</v>
      </c>
      <c r="W19">
        <v>0.14019999999999999</v>
      </c>
      <c r="X19">
        <v>0.7944</v>
      </c>
      <c r="Y19" t="s">
        <v>35</v>
      </c>
      <c r="Z19">
        <v>1.8700000000000001E-2</v>
      </c>
      <c r="AA19">
        <v>4.6699999999999998E-2</v>
      </c>
      <c r="AB19" t="s">
        <v>35</v>
      </c>
      <c r="AC19">
        <v>20</v>
      </c>
      <c r="AD19">
        <v>1050</v>
      </c>
      <c r="AE19">
        <v>60</v>
      </c>
      <c r="AF19">
        <v>1</v>
      </c>
      <c r="AG19">
        <v>0.5</v>
      </c>
      <c r="AH19">
        <v>0.2</v>
      </c>
      <c r="AI19" t="s">
        <v>35</v>
      </c>
      <c r="AJ19" t="s">
        <v>35</v>
      </c>
      <c r="AK19" t="s">
        <v>35</v>
      </c>
      <c r="AL19">
        <f t="shared" si="2"/>
        <v>0.12</v>
      </c>
      <c r="AM19">
        <v>0.88</v>
      </c>
    </row>
    <row r="20" spans="1:39" x14ac:dyDescent="0.25">
      <c r="A20" s="3" t="s">
        <v>202</v>
      </c>
      <c r="B20" t="s">
        <v>58</v>
      </c>
      <c r="C20">
        <v>160.4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0.106</v>
      </c>
      <c r="M20" t="s">
        <v>35</v>
      </c>
      <c r="N20" t="s">
        <v>35</v>
      </c>
      <c r="O20">
        <v>44.813600000000001</v>
      </c>
      <c r="P20">
        <v>0.65210000000000001</v>
      </c>
      <c r="Q20" t="s">
        <v>35</v>
      </c>
      <c r="R20" t="s">
        <v>35</v>
      </c>
      <c r="S20" t="s">
        <v>35</v>
      </c>
      <c r="T20">
        <v>49.033000000000001</v>
      </c>
      <c r="U20" t="s">
        <v>35</v>
      </c>
      <c r="V20">
        <v>0.86860000000000004</v>
      </c>
      <c r="W20">
        <v>0.14019999999999999</v>
      </c>
      <c r="X20">
        <v>0.7944</v>
      </c>
      <c r="Y20" t="s">
        <v>35</v>
      </c>
      <c r="Z20">
        <v>1.8700000000000001E-2</v>
      </c>
      <c r="AA20">
        <v>4.6699999999999998E-2</v>
      </c>
      <c r="AB20" t="s">
        <v>35</v>
      </c>
      <c r="AC20">
        <v>20</v>
      </c>
      <c r="AD20">
        <v>1100</v>
      </c>
      <c r="AE20">
        <v>30</v>
      </c>
      <c r="AF20">
        <v>1</v>
      </c>
      <c r="AG20">
        <v>0.5</v>
      </c>
      <c r="AH20">
        <v>0.2</v>
      </c>
      <c r="AI20" t="s">
        <v>35</v>
      </c>
      <c r="AJ20" t="s">
        <v>35</v>
      </c>
      <c r="AK20" t="s">
        <v>35</v>
      </c>
      <c r="AL20">
        <f t="shared" si="2"/>
        <v>0.12</v>
      </c>
      <c r="AM20">
        <v>0.85</v>
      </c>
    </row>
    <row r="21" spans="1:39" x14ac:dyDescent="0.25">
      <c r="A21" s="3" t="s">
        <v>202</v>
      </c>
      <c r="B21" t="s">
        <v>59</v>
      </c>
      <c r="C21">
        <v>160.4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0.106</v>
      </c>
      <c r="M21" t="s">
        <v>35</v>
      </c>
      <c r="N21" t="s">
        <v>35</v>
      </c>
      <c r="O21">
        <v>44.813600000000001</v>
      </c>
      <c r="P21">
        <v>0.65210000000000001</v>
      </c>
      <c r="Q21" t="s">
        <v>35</v>
      </c>
      <c r="R21" t="s">
        <v>35</v>
      </c>
      <c r="S21" t="s">
        <v>35</v>
      </c>
      <c r="T21">
        <v>49.033000000000001</v>
      </c>
      <c r="U21" t="s">
        <v>35</v>
      </c>
      <c r="V21">
        <v>0.86860000000000004</v>
      </c>
      <c r="W21">
        <v>0.14019999999999999</v>
      </c>
      <c r="X21">
        <v>0.7944</v>
      </c>
      <c r="Y21" t="s">
        <v>35</v>
      </c>
      <c r="Z21">
        <v>1.8700000000000001E-2</v>
      </c>
      <c r="AA21">
        <v>4.6699999999999998E-2</v>
      </c>
      <c r="AB21" t="s">
        <v>35</v>
      </c>
      <c r="AC21">
        <v>20</v>
      </c>
      <c r="AD21">
        <v>1100</v>
      </c>
      <c r="AE21">
        <v>45</v>
      </c>
      <c r="AF21">
        <v>1</v>
      </c>
      <c r="AG21">
        <v>0.5</v>
      </c>
      <c r="AH21">
        <v>0.2</v>
      </c>
      <c r="AI21" t="s">
        <v>35</v>
      </c>
      <c r="AJ21" t="s">
        <v>35</v>
      </c>
      <c r="AK21" t="s">
        <v>35</v>
      </c>
      <c r="AL21">
        <f t="shared" si="2"/>
        <v>0.12</v>
      </c>
      <c r="AM21">
        <v>0.9</v>
      </c>
    </row>
    <row r="22" spans="1:39" x14ac:dyDescent="0.25">
      <c r="A22" s="3" t="s">
        <v>202</v>
      </c>
      <c r="B22" t="s">
        <v>60</v>
      </c>
      <c r="C22">
        <v>160.4</v>
      </c>
      <c r="D22" t="s">
        <v>35</v>
      </c>
      <c r="E22" t="s">
        <v>35</v>
      </c>
      <c r="F22" t="s">
        <v>35</v>
      </c>
      <c r="G22" t="s">
        <v>35</v>
      </c>
      <c r="H22" t="s">
        <v>35</v>
      </c>
      <c r="I22" t="s">
        <v>35</v>
      </c>
      <c r="J22" t="s">
        <v>35</v>
      </c>
      <c r="K22" t="s">
        <v>35</v>
      </c>
      <c r="L22">
        <v>0.106</v>
      </c>
      <c r="M22" t="s">
        <v>35</v>
      </c>
      <c r="N22" t="s">
        <v>35</v>
      </c>
      <c r="O22">
        <v>44.813600000000001</v>
      </c>
      <c r="P22">
        <v>0.65210000000000001</v>
      </c>
      <c r="Q22" t="s">
        <v>35</v>
      </c>
      <c r="R22" t="s">
        <v>35</v>
      </c>
      <c r="S22" t="s">
        <v>35</v>
      </c>
      <c r="T22">
        <v>49.033000000000001</v>
      </c>
      <c r="U22" t="s">
        <v>35</v>
      </c>
      <c r="V22">
        <v>0.86860000000000004</v>
      </c>
      <c r="W22">
        <v>0.14019999999999999</v>
      </c>
      <c r="X22">
        <v>0.7944</v>
      </c>
      <c r="Y22" t="s">
        <v>35</v>
      </c>
      <c r="Z22">
        <v>1.8700000000000001E-2</v>
      </c>
      <c r="AA22">
        <v>4.6699999999999998E-2</v>
      </c>
      <c r="AB22" t="s">
        <v>35</v>
      </c>
      <c r="AC22">
        <v>20</v>
      </c>
      <c r="AD22">
        <v>1100</v>
      </c>
      <c r="AE22">
        <v>60</v>
      </c>
      <c r="AF22">
        <v>1</v>
      </c>
      <c r="AG22">
        <v>0.5</v>
      </c>
      <c r="AH22">
        <v>0.2</v>
      </c>
      <c r="AI22" t="s">
        <v>35</v>
      </c>
      <c r="AJ22" t="s">
        <v>35</v>
      </c>
      <c r="AK22" t="s">
        <v>35</v>
      </c>
      <c r="AL22">
        <f t="shared" si="2"/>
        <v>0.12</v>
      </c>
      <c r="AM22">
        <v>0.91</v>
      </c>
    </row>
    <row r="23" spans="1:39" x14ac:dyDescent="0.25">
      <c r="A23" s="3" t="s">
        <v>202</v>
      </c>
      <c r="B23" t="s">
        <v>40</v>
      </c>
      <c r="C23">
        <v>160.4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0.106</v>
      </c>
      <c r="M23" t="s">
        <v>35</v>
      </c>
      <c r="N23" t="s">
        <v>35</v>
      </c>
      <c r="O23">
        <v>44.813600000000001</v>
      </c>
      <c r="P23">
        <v>0.65210000000000001</v>
      </c>
      <c r="Q23" t="s">
        <v>35</v>
      </c>
      <c r="R23" t="s">
        <v>35</v>
      </c>
      <c r="S23" t="s">
        <v>35</v>
      </c>
      <c r="T23">
        <v>49.033000000000001</v>
      </c>
      <c r="U23" t="s">
        <v>35</v>
      </c>
      <c r="V23">
        <v>0.86860000000000004</v>
      </c>
      <c r="W23">
        <v>0.14019999999999999</v>
      </c>
      <c r="X23">
        <v>0.7944</v>
      </c>
      <c r="Y23" t="s">
        <v>35</v>
      </c>
      <c r="Z23">
        <v>1.8700000000000001E-2</v>
      </c>
      <c r="AA23">
        <v>4.6699999999999998E-2</v>
      </c>
      <c r="AB23" t="s">
        <v>35</v>
      </c>
      <c r="AC23">
        <v>20</v>
      </c>
      <c r="AD23">
        <v>1100</v>
      </c>
      <c r="AE23">
        <v>60</v>
      </c>
      <c r="AF23">
        <v>1</v>
      </c>
      <c r="AG23">
        <v>1</v>
      </c>
      <c r="AH23">
        <v>0</v>
      </c>
      <c r="AI23" t="s">
        <v>35</v>
      </c>
      <c r="AJ23" t="s">
        <v>35</v>
      </c>
      <c r="AK23" t="s">
        <v>35</v>
      </c>
      <c r="AL23">
        <f t="shared" si="2"/>
        <v>0.12</v>
      </c>
      <c r="AM23">
        <v>0.95</v>
      </c>
    </row>
    <row r="24" spans="1:39" x14ac:dyDescent="0.25">
      <c r="A24" s="3" t="s">
        <v>202</v>
      </c>
      <c r="B24" t="s">
        <v>41</v>
      </c>
      <c r="C24">
        <v>160.4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0.106</v>
      </c>
      <c r="M24" t="s">
        <v>35</v>
      </c>
      <c r="N24" t="s">
        <v>35</v>
      </c>
      <c r="O24">
        <v>44.813600000000001</v>
      </c>
      <c r="P24">
        <v>0.65210000000000001</v>
      </c>
      <c r="Q24" t="s">
        <v>35</v>
      </c>
      <c r="R24" t="s">
        <v>35</v>
      </c>
      <c r="S24" t="s">
        <v>35</v>
      </c>
      <c r="T24">
        <v>49.033000000000001</v>
      </c>
      <c r="U24" t="s">
        <v>35</v>
      </c>
      <c r="V24">
        <v>0.86860000000000004</v>
      </c>
      <c r="W24">
        <v>0.14019999999999999</v>
      </c>
      <c r="X24">
        <v>0.7944</v>
      </c>
      <c r="Y24" t="s">
        <v>35</v>
      </c>
      <c r="Z24">
        <v>1.8700000000000001E-2</v>
      </c>
      <c r="AA24">
        <v>4.6699999999999998E-2</v>
      </c>
      <c r="AB24" t="s">
        <v>35</v>
      </c>
      <c r="AC24">
        <v>20</v>
      </c>
      <c r="AD24">
        <v>1100</v>
      </c>
      <c r="AE24">
        <v>60</v>
      </c>
      <c r="AF24">
        <v>1</v>
      </c>
      <c r="AG24">
        <v>0.75</v>
      </c>
      <c r="AH24">
        <v>0.25</v>
      </c>
      <c r="AI24" t="s">
        <v>35</v>
      </c>
      <c r="AJ24" t="s">
        <v>35</v>
      </c>
      <c r="AK24" t="s">
        <v>35</v>
      </c>
      <c r="AL24">
        <f t="shared" si="2"/>
        <v>0.12</v>
      </c>
      <c r="AM24">
        <v>0.92</v>
      </c>
    </row>
    <row r="25" spans="1:39" x14ac:dyDescent="0.25">
      <c r="A25" s="3" t="s">
        <v>202</v>
      </c>
      <c r="B25" t="s">
        <v>42</v>
      </c>
      <c r="C25">
        <v>160.4</v>
      </c>
      <c r="D25" t="s">
        <v>35</v>
      </c>
      <c r="E25" t="s">
        <v>35</v>
      </c>
      <c r="F25" t="s">
        <v>35</v>
      </c>
      <c r="G25" t="s">
        <v>35</v>
      </c>
      <c r="H25" t="s">
        <v>35</v>
      </c>
      <c r="I25" t="s">
        <v>35</v>
      </c>
      <c r="J25" t="s">
        <v>35</v>
      </c>
      <c r="K25" t="s">
        <v>35</v>
      </c>
      <c r="L25">
        <v>0.106</v>
      </c>
      <c r="M25" t="s">
        <v>35</v>
      </c>
      <c r="N25" t="s">
        <v>35</v>
      </c>
      <c r="O25">
        <v>44.813600000000001</v>
      </c>
      <c r="P25">
        <v>0.65210000000000001</v>
      </c>
      <c r="Q25" t="s">
        <v>35</v>
      </c>
      <c r="R25" t="s">
        <v>35</v>
      </c>
      <c r="S25" t="s">
        <v>35</v>
      </c>
      <c r="T25">
        <v>49.033000000000001</v>
      </c>
      <c r="U25" t="s">
        <v>35</v>
      </c>
      <c r="V25">
        <v>0.86860000000000004</v>
      </c>
      <c r="W25">
        <v>0.14019999999999999</v>
      </c>
      <c r="X25">
        <v>0.7944</v>
      </c>
      <c r="Y25" t="s">
        <v>35</v>
      </c>
      <c r="Z25">
        <v>1.8700000000000001E-2</v>
      </c>
      <c r="AA25">
        <v>4.6699999999999998E-2</v>
      </c>
      <c r="AB25" t="s">
        <v>35</v>
      </c>
      <c r="AC25">
        <v>20</v>
      </c>
      <c r="AD25">
        <v>1100</v>
      </c>
      <c r="AE25">
        <v>60</v>
      </c>
      <c r="AF25">
        <v>1</v>
      </c>
      <c r="AG25">
        <v>0.5</v>
      </c>
      <c r="AH25">
        <v>0.5</v>
      </c>
      <c r="AI25" t="s">
        <v>35</v>
      </c>
      <c r="AJ25" t="s">
        <v>35</v>
      </c>
      <c r="AK25" t="s">
        <v>35</v>
      </c>
      <c r="AL25">
        <f t="shared" si="2"/>
        <v>0.12</v>
      </c>
      <c r="AM25">
        <v>0.91500000000000004</v>
      </c>
    </row>
    <row r="26" spans="1:39" x14ac:dyDescent="0.25">
      <c r="A26" s="3" t="s">
        <v>202</v>
      </c>
      <c r="B26" t="s">
        <v>43</v>
      </c>
      <c r="C26">
        <v>160.4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0.106</v>
      </c>
      <c r="M26" t="s">
        <v>35</v>
      </c>
      <c r="N26" t="s">
        <v>35</v>
      </c>
      <c r="O26">
        <v>44.813600000000001</v>
      </c>
      <c r="P26">
        <v>0.65210000000000001</v>
      </c>
      <c r="Q26" t="s">
        <v>35</v>
      </c>
      <c r="R26" t="s">
        <v>35</v>
      </c>
      <c r="S26" t="s">
        <v>35</v>
      </c>
      <c r="T26">
        <v>49.033000000000001</v>
      </c>
      <c r="U26" t="s">
        <v>35</v>
      </c>
      <c r="V26">
        <v>0.86860000000000004</v>
      </c>
      <c r="W26">
        <v>0.14019999999999999</v>
      </c>
      <c r="X26">
        <v>0.7944</v>
      </c>
      <c r="Y26" t="s">
        <v>35</v>
      </c>
      <c r="Z26">
        <v>1.8700000000000001E-2</v>
      </c>
      <c r="AA26">
        <v>4.6699999999999998E-2</v>
      </c>
      <c r="AB26" t="s">
        <v>35</v>
      </c>
      <c r="AC26">
        <v>20</v>
      </c>
      <c r="AD26">
        <v>1100</v>
      </c>
      <c r="AE26">
        <v>60</v>
      </c>
      <c r="AF26">
        <v>1</v>
      </c>
      <c r="AG26">
        <v>0.25</v>
      </c>
      <c r="AH26">
        <v>0.75</v>
      </c>
      <c r="AI26" t="s">
        <v>35</v>
      </c>
      <c r="AJ26" t="s">
        <v>35</v>
      </c>
      <c r="AK26" t="s">
        <v>35</v>
      </c>
      <c r="AL26">
        <f t="shared" si="2"/>
        <v>0.12</v>
      </c>
      <c r="AM26">
        <v>0.88</v>
      </c>
    </row>
    <row r="27" spans="1:39" x14ac:dyDescent="0.25">
      <c r="A27" s="3" t="s">
        <v>202</v>
      </c>
      <c r="B27" t="s">
        <v>44</v>
      </c>
      <c r="C27">
        <v>160.4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0.106</v>
      </c>
      <c r="M27" t="s">
        <v>35</v>
      </c>
      <c r="N27" t="s">
        <v>35</v>
      </c>
      <c r="O27">
        <v>44.813600000000001</v>
      </c>
      <c r="P27">
        <v>0.65210000000000001</v>
      </c>
      <c r="Q27" t="s">
        <v>35</v>
      </c>
      <c r="R27" t="s">
        <v>35</v>
      </c>
      <c r="S27" t="s">
        <v>35</v>
      </c>
      <c r="T27">
        <v>49.033000000000001</v>
      </c>
      <c r="U27" t="s">
        <v>35</v>
      </c>
      <c r="V27">
        <v>0.86860000000000004</v>
      </c>
      <c r="W27">
        <v>0.14019999999999999</v>
      </c>
      <c r="X27">
        <v>0.7944</v>
      </c>
      <c r="Y27" t="s">
        <v>35</v>
      </c>
      <c r="Z27">
        <v>1.8700000000000001E-2</v>
      </c>
      <c r="AA27">
        <v>4.6699999999999998E-2</v>
      </c>
      <c r="AB27" t="s">
        <v>35</v>
      </c>
      <c r="AC27">
        <v>20</v>
      </c>
      <c r="AD27">
        <v>1100</v>
      </c>
      <c r="AE27">
        <v>60</v>
      </c>
      <c r="AF27">
        <v>1</v>
      </c>
      <c r="AG27">
        <v>0</v>
      </c>
      <c r="AH27">
        <v>1</v>
      </c>
      <c r="AI27" t="s">
        <v>35</v>
      </c>
      <c r="AJ27" t="s">
        <v>35</v>
      </c>
      <c r="AK27" t="s">
        <v>35</v>
      </c>
      <c r="AL27">
        <f t="shared" si="2"/>
        <v>0.12</v>
      </c>
      <c r="AM27">
        <v>0.8</v>
      </c>
    </row>
    <row r="28" spans="1:39" x14ac:dyDescent="0.25">
      <c r="A28" s="1" t="s">
        <v>24</v>
      </c>
      <c r="B28" t="s">
        <v>61</v>
      </c>
      <c r="C28">
        <v>950</v>
      </c>
      <c r="D28" t="s">
        <v>35</v>
      </c>
      <c r="E28" t="s">
        <v>35</v>
      </c>
      <c r="F28">
        <v>0.498</v>
      </c>
      <c r="G28">
        <v>6.2E-2</v>
      </c>
      <c r="H28">
        <v>0</v>
      </c>
      <c r="I28">
        <v>0</v>
      </c>
      <c r="J28">
        <v>0.44</v>
      </c>
      <c r="K28" t="s">
        <v>35</v>
      </c>
      <c r="L28" t="s">
        <v>35</v>
      </c>
      <c r="M28" t="s">
        <v>35</v>
      </c>
      <c r="N28" t="s">
        <v>35</v>
      </c>
      <c r="O28">
        <v>3750</v>
      </c>
      <c r="P28">
        <v>0.62</v>
      </c>
      <c r="Q28" t="s">
        <v>35</v>
      </c>
      <c r="R28">
        <v>82</v>
      </c>
      <c r="S28">
        <v>0</v>
      </c>
      <c r="T28" t="s">
        <v>35</v>
      </c>
      <c r="U28" t="s">
        <v>35</v>
      </c>
      <c r="V28" t="s">
        <v>35</v>
      </c>
      <c r="W28" t="s">
        <v>35</v>
      </c>
      <c r="X28" t="s">
        <v>35</v>
      </c>
      <c r="Y28" t="s">
        <v>35</v>
      </c>
      <c r="Z28" t="s">
        <v>35</v>
      </c>
      <c r="AA28" t="s">
        <v>35</v>
      </c>
      <c r="AB28">
        <v>0.308</v>
      </c>
      <c r="AC28">
        <v>20</v>
      </c>
      <c r="AD28">
        <v>1200</v>
      </c>
      <c r="AE28">
        <v>0</v>
      </c>
      <c r="AF28">
        <v>1</v>
      </c>
      <c r="AG28" t="s">
        <v>35</v>
      </c>
      <c r="AH28" t="s">
        <v>35</v>
      </c>
      <c r="AI28" t="s">
        <v>35</v>
      </c>
      <c r="AJ28" t="s">
        <v>35</v>
      </c>
      <c r="AK28" t="s">
        <v>35</v>
      </c>
      <c r="AL28" t="s">
        <v>35</v>
      </c>
      <c r="AM28">
        <v>0.1827</v>
      </c>
    </row>
    <row r="29" spans="1:39" x14ac:dyDescent="0.25">
      <c r="A29" s="3" t="s">
        <v>203</v>
      </c>
      <c r="B29" t="s">
        <v>215</v>
      </c>
      <c r="C29">
        <v>74</v>
      </c>
      <c r="D29" t="s">
        <v>35</v>
      </c>
      <c r="E29" t="s">
        <v>35</v>
      </c>
      <c r="F29">
        <v>0.85150000000000003</v>
      </c>
      <c r="G29">
        <v>3.0300000000000001E-2</v>
      </c>
      <c r="H29">
        <v>2.5000000000000001E-3</v>
      </c>
      <c r="I29">
        <v>5.0000000000000001E-4</v>
      </c>
      <c r="J29">
        <v>9.2799999999999994E-2</v>
      </c>
      <c r="K29">
        <v>0.82179999999999997</v>
      </c>
      <c r="L29">
        <v>1.4E-2</v>
      </c>
      <c r="M29">
        <v>9.4999999999999998E-3</v>
      </c>
      <c r="N29">
        <v>0.16869999999999999</v>
      </c>
      <c r="O29">
        <v>74</v>
      </c>
      <c r="P29">
        <v>0.62019999999999997</v>
      </c>
      <c r="Q29" t="s">
        <v>35</v>
      </c>
      <c r="R29" t="s">
        <v>35</v>
      </c>
      <c r="S29" t="s">
        <v>35</v>
      </c>
      <c r="T29" t="s">
        <v>35</v>
      </c>
      <c r="U29" t="s">
        <v>35</v>
      </c>
      <c r="V29" t="s">
        <v>35</v>
      </c>
      <c r="W29">
        <v>0.21740000000000001</v>
      </c>
      <c r="X29">
        <v>0.78259999999999996</v>
      </c>
      <c r="Y29">
        <v>0</v>
      </c>
      <c r="Z29">
        <v>0</v>
      </c>
      <c r="AA29">
        <v>0</v>
      </c>
      <c r="AB29">
        <v>1</v>
      </c>
      <c r="AC29">
        <v>20</v>
      </c>
      <c r="AD29">
        <f>1473-273</f>
        <v>1200</v>
      </c>
      <c r="AE29">
        <v>0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1</v>
      </c>
      <c r="AL29">
        <f>60*60/1000000</f>
        <v>3.5999999999999999E-3</v>
      </c>
      <c r="AM29">
        <v>0.84309999999999996</v>
      </c>
    </row>
    <row r="30" spans="1:39" x14ac:dyDescent="0.25">
      <c r="A30" s="3" t="s">
        <v>203</v>
      </c>
      <c r="B30" t="s">
        <v>216</v>
      </c>
      <c r="C30">
        <v>74</v>
      </c>
      <c r="D30" t="s">
        <v>35</v>
      </c>
      <c r="E30" t="s">
        <v>35</v>
      </c>
      <c r="F30">
        <v>0.85150000000000003</v>
      </c>
      <c r="G30">
        <v>3.0300000000000001E-2</v>
      </c>
      <c r="H30">
        <v>2.5000000000000001E-3</v>
      </c>
      <c r="I30">
        <v>5.0000000000000001E-4</v>
      </c>
      <c r="J30">
        <v>9.2799999999999994E-2</v>
      </c>
      <c r="K30">
        <v>0.82179999999999997</v>
      </c>
      <c r="L30">
        <v>1.4E-2</v>
      </c>
      <c r="M30">
        <v>9.4999999999999998E-3</v>
      </c>
      <c r="N30">
        <v>0.16869999999999999</v>
      </c>
      <c r="O30">
        <v>74</v>
      </c>
      <c r="P30">
        <v>0.62019999999999997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35</v>
      </c>
      <c r="W30">
        <v>0.24210000000000001</v>
      </c>
      <c r="X30">
        <v>0.75790000000000002</v>
      </c>
      <c r="Y30">
        <v>0</v>
      </c>
      <c r="Z30">
        <v>0</v>
      </c>
      <c r="AA30">
        <v>0</v>
      </c>
      <c r="AB30">
        <v>1.1499999999999999</v>
      </c>
      <c r="AC30">
        <v>20</v>
      </c>
      <c r="AD30">
        <f t="shared" ref="AD30:AD31" si="3">1473-273</f>
        <v>1200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1</v>
      </c>
      <c r="AL30">
        <f t="shared" ref="AL30:AL31" si="4">60*60/1000000</f>
        <v>3.5999999999999999E-3</v>
      </c>
      <c r="AM30">
        <v>0.88400000000000001</v>
      </c>
    </row>
    <row r="31" spans="1:39" x14ac:dyDescent="0.25">
      <c r="A31" s="3" t="s">
        <v>203</v>
      </c>
      <c r="B31" t="s">
        <v>217</v>
      </c>
      <c r="C31">
        <v>74</v>
      </c>
      <c r="D31" t="s">
        <v>35</v>
      </c>
      <c r="E31" t="s">
        <v>35</v>
      </c>
      <c r="F31">
        <v>0.85150000000000003</v>
      </c>
      <c r="G31">
        <v>3.0300000000000001E-2</v>
      </c>
      <c r="H31">
        <v>2.5000000000000001E-3</v>
      </c>
      <c r="I31">
        <v>5.0000000000000001E-4</v>
      </c>
      <c r="J31">
        <v>9.2799999999999994E-2</v>
      </c>
      <c r="K31">
        <v>0.82179999999999997</v>
      </c>
      <c r="L31">
        <v>1.4E-2</v>
      </c>
      <c r="M31">
        <v>9.4999999999999998E-3</v>
      </c>
      <c r="N31">
        <v>0.16869999999999999</v>
      </c>
      <c r="O31">
        <v>74</v>
      </c>
      <c r="P31">
        <v>0.62019999999999997</v>
      </c>
      <c r="Q31" t="s">
        <v>35</v>
      </c>
      <c r="R31" t="s">
        <v>35</v>
      </c>
      <c r="S31" t="s">
        <v>35</v>
      </c>
      <c r="T31" t="s">
        <v>35</v>
      </c>
      <c r="U31" t="s">
        <v>35</v>
      </c>
      <c r="V31" t="s">
        <v>35</v>
      </c>
      <c r="W31">
        <v>0.26529999999999998</v>
      </c>
      <c r="X31">
        <v>0.73470000000000002</v>
      </c>
      <c r="Y31">
        <v>0</v>
      </c>
      <c r="Z31">
        <v>0</v>
      </c>
      <c r="AA31">
        <v>0</v>
      </c>
      <c r="AB31">
        <v>1.3</v>
      </c>
      <c r="AC31">
        <v>20</v>
      </c>
      <c r="AD31">
        <f t="shared" si="3"/>
        <v>1200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1</v>
      </c>
      <c r="AL31">
        <f t="shared" si="4"/>
        <v>3.5999999999999999E-3</v>
      </c>
      <c r="AM31">
        <v>0.90510000000000002</v>
      </c>
    </row>
    <row r="32" spans="1:39" x14ac:dyDescent="0.25">
      <c r="A32" s="3" t="s">
        <v>25</v>
      </c>
      <c r="B32" t="s">
        <v>62</v>
      </c>
      <c r="C32">
        <v>200</v>
      </c>
      <c r="D32" t="s">
        <v>35</v>
      </c>
      <c r="E32" t="s">
        <v>35</v>
      </c>
      <c r="F32">
        <v>0.48209999999999997</v>
      </c>
      <c r="G32">
        <v>6.54E-2</v>
      </c>
      <c r="H32">
        <v>7.7000000000000002E-3</v>
      </c>
      <c r="I32">
        <v>8.9999999999999998E-4</v>
      </c>
      <c r="J32">
        <v>0.44390000000000002</v>
      </c>
      <c r="K32">
        <v>0.17710000000000001</v>
      </c>
      <c r="L32">
        <v>7.7799999999999994E-2</v>
      </c>
      <c r="M32">
        <v>3.0700000000000002E-2</v>
      </c>
      <c r="N32">
        <v>0.79220000000000002</v>
      </c>
      <c r="O32">
        <v>200</v>
      </c>
      <c r="P32">
        <v>0.67620000000000002</v>
      </c>
      <c r="Q32" t="s">
        <v>35</v>
      </c>
      <c r="R32" t="s">
        <v>35</v>
      </c>
      <c r="S32" t="s">
        <v>35</v>
      </c>
      <c r="T32" t="s">
        <v>35</v>
      </c>
      <c r="U32" t="s">
        <v>35</v>
      </c>
      <c r="V32">
        <v>1</v>
      </c>
      <c r="W32">
        <v>0.02</v>
      </c>
      <c r="X32">
        <v>0.96</v>
      </c>
      <c r="Y32">
        <v>0</v>
      </c>
      <c r="Z32">
        <v>0.02</v>
      </c>
      <c r="AA32">
        <v>0</v>
      </c>
      <c r="AB32">
        <v>1.512E-2</v>
      </c>
      <c r="AC32">
        <v>20</v>
      </c>
      <c r="AD32">
        <v>850</v>
      </c>
      <c r="AE32">
        <v>1</v>
      </c>
      <c r="AF32">
        <v>1</v>
      </c>
      <c r="AG32">
        <v>1</v>
      </c>
      <c r="AH32">
        <v>0</v>
      </c>
      <c r="AI32">
        <v>0</v>
      </c>
      <c r="AJ32">
        <v>0</v>
      </c>
      <c r="AK32">
        <v>0</v>
      </c>
      <c r="AL32" t="s">
        <v>35</v>
      </c>
      <c r="AM32">
        <v>0.05</v>
      </c>
    </row>
    <row r="33" spans="1:39" x14ac:dyDescent="0.25">
      <c r="A33" s="3" t="s">
        <v>25</v>
      </c>
      <c r="B33" t="s">
        <v>63</v>
      </c>
      <c r="C33">
        <v>200</v>
      </c>
      <c r="D33" t="s">
        <v>35</v>
      </c>
      <c r="E33" t="s">
        <v>35</v>
      </c>
      <c r="F33">
        <v>0.48209999999999997</v>
      </c>
      <c r="G33">
        <v>6.54E-2</v>
      </c>
      <c r="H33">
        <v>7.7000000000000002E-3</v>
      </c>
      <c r="I33">
        <v>8.9999999999999998E-4</v>
      </c>
      <c r="J33">
        <v>0.44390000000000002</v>
      </c>
      <c r="K33">
        <v>0.17710000000000001</v>
      </c>
      <c r="L33">
        <v>7.7799999999999994E-2</v>
      </c>
      <c r="M33">
        <v>3.0700000000000002E-2</v>
      </c>
      <c r="N33">
        <v>0.79220000000000002</v>
      </c>
      <c r="O33">
        <v>200</v>
      </c>
      <c r="P33">
        <v>0.67620000000000002</v>
      </c>
      <c r="Q33" t="s">
        <v>35</v>
      </c>
      <c r="R33" t="s">
        <v>35</v>
      </c>
      <c r="S33" t="s">
        <v>35</v>
      </c>
      <c r="T33" t="s">
        <v>35</v>
      </c>
      <c r="U33" t="s">
        <v>35</v>
      </c>
      <c r="V33">
        <v>1</v>
      </c>
      <c r="W33">
        <v>0.02</v>
      </c>
      <c r="X33">
        <v>0.96</v>
      </c>
      <c r="Y33">
        <v>0</v>
      </c>
      <c r="Z33">
        <v>0.02</v>
      </c>
      <c r="AA33">
        <v>0</v>
      </c>
      <c r="AB33">
        <v>1.512E-2</v>
      </c>
      <c r="AC33">
        <v>20</v>
      </c>
      <c r="AD33">
        <v>850</v>
      </c>
      <c r="AE33">
        <v>2</v>
      </c>
      <c r="AF33">
        <v>1</v>
      </c>
      <c r="AG33">
        <v>1</v>
      </c>
      <c r="AH33">
        <v>0</v>
      </c>
      <c r="AI33">
        <v>0</v>
      </c>
      <c r="AJ33">
        <v>0</v>
      </c>
      <c r="AK33">
        <v>0</v>
      </c>
      <c r="AL33" t="s">
        <v>35</v>
      </c>
      <c r="AM33">
        <v>0.11</v>
      </c>
    </row>
    <row r="34" spans="1:39" x14ac:dyDescent="0.25">
      <c r="A34" s="3" t="s">
        <v>25</v>
      </c>
      <c r="B34" t="s">
        <v>64</v>
      </c>
      <c r="C34">
        <v>200</v>
      </c>
      <c r="D34" t="s">
        <v>35</v>
      </c>
      <c r="E34" t="s">
        <v>35</v>
      </c>
      <c r="F34">
        <v>0.48209999999999997</v>
      </c>
      <c r="G34">
        <v>6.54E-2</v>
      </c>
      <c r="H34">
        <v>7.7000000000000002E-3</v>
      </c>
      <c r="I34">
        <v>8.9999999999999998E-4</v>
      </c>
      <c r="J34">
        <v>0.44390000000000002</v>
      </c>
      <c r="K34">
        <v>0.17710000000000001</v>
      </c>
      <c r="L34">
        <v>7.7799999999999994E-2</v>
      </c>
      <c r="M34">
        <v>3.0700000000000002E-2</v>
      </c>
      <c r="N34">
        <v>0.79220000000000002</v>
      </c>
      <c r="O34">
        <v>200</v>
      </c>
      <c r="P34">
        <v>0.67620000000000002</v>
      </c>
      <c r="Q34" t="s">
        <v>35</v>
      </c>
      <c r="R34" t="s">
        <v>35</v>
      </c>
      <c r="S34" t="s">
        <v>35</v>
      </c>
      <c r="T34" t="s">
        <v>35</v>
      </c>
      <c r="U34" t="s">
        <v>35</v>
      </c>
      <c r="V34">
        <v>1</v>
      </c>
      <c r="W34">
        <v>0.02</v>
      </c>
      <c r="X34">
        <v>0.96</v>
      </c>
      <c r="Y34">
        <v>0</v>
      </c>
      <c r="Z34">
        <v>0.02</v>
      </c>
      <c r="AA34">
        <v>0</v>
      </c>
      <c r="AB34">
        <v>1.512E-2</v>
      </c>
      <c r="AC34">
        <v>20</v>
      </c>
      <c r="AD34">
        <v>850</v>
      </c>
      <c r="AE34">
        <v>2.5</v>
      </c>
      <c r="AF34">
        <v>1</v>
      </c>
      <c r="AG34">
        <v>1</v>
      </c>
      <c r="AH34">
        <v>0</v>
      </c>
      <c r="AI34">
        <v>0</v>
      </c>
      <c r="AJ34">
        <v>0</v>
      </c>
      <c r="AK34">
        <v>0</v>
      </c>
      <c r="AL34" t="s">
        <v>35</v>
      </c>
      <c r="AM34">
        <v>0.2</v>
      </c>
    </row>
    <row r="35" spans="1:39" x14ac:dyDescent="0.25">
      <c r="A35" s="3" t="s">
        <v>25</v>
      </c>
      <c r="B35" t="s">
        <v>65</v>
      </c>
      <c r="C35">
        <v>200</v>
      </c>
      <c r="D35" t="s">
        <v>35</v>
      </c>
      <c r="E35" t="s">
        <v>35</v>
      </c>
      <c r="F35">
        <v>0.48209999999999997</v>
      </c>
      <c r="G35">
        <v>6.54E-2</v>
      </c>
      <c r="H35">
        <v>7.7000000000000002E-3</v>
      </c>
      <c r="I35">
        <v>8.9999999999999998E-4</v>
      </c>
      <c r="J35">
        <v>0.44390000000000002</v>
      </c>
      <c r="K35">
        <v>0.17710000000000001</v>
      </c>
      <c r="L35">
        <v>7.7799999999999994E-2</v>
      </c>
      <c r="M35">
        <v>3.0700000000000002E-2</v>
      </c>
      <c r="N35">
        <v>0.79220000000000002</v>
      </c>
      <c r="O35">
        <v>200</v>
      </c>
      <c r="P35">
        <v>0.67620000000000002</v>
      </c>
      <c r="Q35" t="s">
        <v>35</v>
      </c>
      <c r="R35" t="s">
        <v>35</v>
      </c>
      <c r="S35" t="s">
        <v>35</v>
      </c>
      <c r="T35" t="s">
        <v>35</v>
      </c>
      <c r="U35" t="s">
        <v>35</v>
      </c>
      <c r="V35">
        <v>1</v>
      </c>
      <c r="W35">
        <v>0.02</v>
      </c>
      <c r="X35">
        <v>0.96</v>
      </c>
      <c r="Y35">
        <v>0</v>
      </c>
      <c r="Z35">
        <v>0.02</v>
      </c>
      <c r="AA35">
        <v>0</v>
      </c>
      <c r="AB35">
        <v>1.512E-2</v>
      </c>
      <c r="AC35">
        <v>20</v>
      </c>
      <c r="AD35">
        <v>850</v>
      </c>
      <c r="AE35">
        <v>3</v>
      </c>
      <c r="AF35">
        <v>1</v>
      </c>
      <c r="AG35">
        <v>1</v>
      </c>
      <c r="AH35">
        <v>0</v>
      </c>
      <c r="AI35">
        <v>0</v>
      </c>
      <c r="AJ35">
        <v>0</v>
      </c>
      <c r="AK35">
        <v>0</v>
      </c>
      <c r="AL35" t="s">
        <v>35</v>
      </c>
      <c r="AM35">
        <v>0.28999999999999998</v>
      </c>
    </row>
    <row r="36" spans="1:39" x14ac:dyDescent="0.25">
      <c r="A36" s="3" t="s">
        <v>25</v>
      </c>
      <c r="B36" t="s">
        <v>66</v>
      </c>
      <c r="C36">
        <v>200</v>
      </c>
      <c r="D36" t="s">
        <v>35</v>
      </c>
      <c r="E36" t="s">
        <v>35</v>
      </c>
      <c r="F36">
        <v>0.48209999999999997</v>
      </c>
      <c r="G36">
        <v>6.54E-2</v>
      </c>
      <c r="H36">
        <v>7.7000000000000002E-3</v>
      </c>
      <c r="I36">
        <v>8.9999999999999998E-4</v>
      </c>
      <c r="J36">
        <v>0.44390000000000002</v>
      </c>
      <c r="K36">
        <v>0.17710000000000001</v>
      </c>
      <c r="L36">
        <v>7.7799999999999994E-2</v>
      </c>
      <c r="M36">
        <v>3.0700000000000002E-2</v>
      </c>
      <c r="N36">
        <v>0.79220000000000002</v>
      </c>
      <c r="O36">
        <v>200</v>
      </c>
      <c r="P36">
        <v>0.67620000000000002</v>
      </c>
      <c r="Q36" t="s">
        <v>35</v>
      </c>
      <c r="R36" t="s">
        <v>35</v>
      </c>
      <c r="S36" t="s">
        <v>35</v>
      </c>
      <c r="T36" t="s">
        <v>35</v>
      </c>
      <c r="U36" t="s">
        <v>35</v>
      </c>
      <c r="V36">
        <v>1</v>
      </c>
      <c r="W36">
        <v>0.02</v>
      </c>
      <c r="X36">
        <v>0.96</v>
      </c>
      <c r="Y36">
        <v>0</v>
      </c>
      <c r="Z36">
        <v>0.02</v>
      </c>
      <c r="AA36">
        <v>0</v>
      </c>
      <c r="AB36">
        <v>1.512E-2</v>
      </c>
      <c r="AC36">
        <v>20</v>
      </c>
      <c r="AD36">
        <v>850</v>
      </c>
      <c r="AE36">
        <v>5</v>
      </c>
      <c r="AF36">
        <v>1</v>
      </c>
      <c r="AG36">
        <v>1</v>
      </c>
      <c r="AH36">
        <v>0</v>
      </c>
      <c r="AI36">
        <v>0</v>
      </c>
      <c r="AJ36">
        <v>0</v>
      </c>
      <c r="AK36">
        <v>0</v>
      </c>
      <c r="AL36" t="s">
        <v>35</v>
      </c>
      <c r="AM36">
        <v>0.43</v>
      </c>
    </row>
    <row r="37" spans="1:39" x14ac:dyDescent="0.25">
      <c r="A37" s="3" t="s">
        <v>25</v>
      </c>
      <c r="B37" t="s">
        <v>67</v>
      </c>
      <c r="C37">
        <v>200</v>
      </c>
      <c r="D37" t="s">
        <v>35</v>
      </c>
      <c r="E37" t="s">
        <v>35</v>
      </c>
      <c r="F37">
        <v>0.48209999999999997</v>
      </c>
      <c r="G37">
        <v>6.54E-2</v>
      </c>
      <c r="H37">
        <v>7.7000000000000002E-3</v>
      </c>
      <c r="I37">
        <v>8.9999999999999998E-4</v>
      </c>
      <c r="J37">
        <v>0.44390000000000002</v>
      </c>
      <c r="K37">
        <v>0.17710000000000001</v>
      </c>
      <c r="L37">
        <v>7.7799999999999994E-2</v>
      </c>
      <c r="M37">
        <v>3.0700000000000002E-2</v>
      </c>
      <c r="N37">
        <v>0.79220000000000002</v>
      </c>
      <c r="O37">
        <v>200</v>
      </c>
      <c r="P37">
        <v>0.67620000000000002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  <c r="V37">
        <v>1</v>
      </c>
      <c r="W37">
        <v>0.02</v>
      </c>
      <c r="X37">
        <v>0.96</v>
      </c>
      <c r="Y37">
        <v>0</v>
      </c>
      <c r="Z37">
        <v>0.02</v>
      </c>
      <c r="AA37">
        <v>0</v>
      </c>
      <c r="AB37">
        <v>1.512E-2</v>
      </c>
      <c r="AC37">
        <v>20</v>
      </c>
      <c r="AD37">
        <v>850</v>
      </c>
      <c r="AE37">
        <v>10</v>
      </c>
      <c r="AF37">
        <v>1</v>
      </c>
      <c r="AG37">
        <v>1</v>
      </c>
      <c r="AH37">
        <v>0</v>
      </c>
      <c r="AI37">
        <v>0</v>
      </c>
      <c r="AJ37">
        <v>0</v>
      </c>
      <c r="AK37">
        <v>0</v>
      </c>
      <c r="AL37" t="s">
        <v>35</v>
      </c>
      <c r="AM37">
        <v>0.72</v>
      </c>
    </row>
    <row r="38" spans="1:39" x14ac:dyDescent="0.25">
      <c r="A38" s="3" t="s">
        <v>25</v>
      </c>
      <c r="B38" t="s">
        <v>68</v>
      </c>
      <c r="C38">
        <v>200</v>
      </c>
      <c r="D38" t="s">
        <v>35</v>
      </c>
      <c r="E38" t="s">
        <v>35</v>
      </c>
      <c r="F38">
        <v>0.48209999999999997</v>
      </c>
      <c r="G38">
        <v>6.54E-2</v>
      </c>
      <c r="H38">
        <v>7.7000000000000002E-3</v>
      </c>
      <c r="I38">
        <v>8.9999999999999998E-4</v>
      </c>
      <c r="J38">
        <v>0.44390000000000002</v>
      </c>
      <c r="K38">
        <v>0.17710000000000001</v>
      </c>
      <c r="L38">
        <v>7.7799999999999994E-2</v>
      </c>
      <c r="M38">
        <v>3.0700000000000002E-2</v>
      </c>
      <c r="N38">
        <v>0.79220000000000002</v>
      </c>
      <c r="O38">
        <v>200</v>
      </c>
      <c r="P38">
        <v>0.67620000000000002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>
        <v>1</v>
      </c>
      <c r="W38">
        <v>0.02</v>
      </c>
      <c r="X38">
        <v>0.96</v>
      </c>
      <c r="Y38">
        <v>0</v>
      </c>
      <c r="Z38">
        <v>0.02</v>
      </c>
      <c r="AA38">
        <v>0</v>
      </c>
      <c r="AB38">
        <v>1.512E-2</v>
      </c>
      <c r="AC38">
        <v>20</v>
      </c>
      <c r="AD38">
        <v>850</v>
      </c>
      <c r="AE38">
        <v>15</v>
      </c>
      <c r="AF38">
        <v>1</v>
      </c>
      <c r="AG38">
        <v>1</v>
      </c>
      <c r="AH38">
        <v>0</v>
      </c>
      <c r="AI38">
        <v>0</v>
      </c>
      <c r="AJ38">
        <v>0</v>
      </c>
      <c r="AK38">
        <v>0</v>
      </c>
      <c r="AL38" t="s">
        <v>35</v>
      </c>
      <c r="AM38">
        <v>0.88</v>
      </c>
    </row>
    <row r="39" spans="1:39" x14ac:dyDescent="0.25">
      <c r="A39" s="3" t="s">
        <v>25</v>
      </c>
      <c r="B39" t="s">
        <v>69</v>
      </c>
      <c r="C39">
        <v>200</v>
      </c>
      <c r="D39" t="s">
        <v>35</v>
      </c>
      <c r="E39" t="s">
        <v>35</v>
      </c>
      <c r="F39">
        <v>0.48209999999999997</v>
      </c>
      <c r="G39">
        <v>6.54E-2</v>
      </c>
      <c r="H39">
        <v>7.7000000000000002E-3</v>
      </c>
      <c r="I39">
        <v>8.9999999999999998E-4</v>
      </c>
      <c r="J39">
        <v>0.44390000000000002</v>
      </c>
      <c r="K39">
        <v>0.17710000000000001</v>
      </c>
      <c r="L39">
        <v>7.7799999999999994E-2</v>
      </c>
      <c r="M39">
        <v>3.0700000000000002E-2</v>
      </c>
      <c r="N39">
        <v>0.79220000000000002</v>
      </c>
      <c r="O39">
        <v>200</v>
      </c>
      <c r="P39">
        <v>0.67620000000000002</v>
      </c>
      <c r="Q39" t="s">
        <v>35</v>
      </c>
      <c r="R39" t="s">
        <v>35</v>
      </c>
      <c r="S39" t="s">
        <v>35</v>
      </c>
      <c r="T39" t="s">
        <v>35</v>
      </c>
      <c r="U39" t="s">
        <v>35</v>
      </c>
      <c r="V39">
        <v>1</v>
      </c>
      <c r="W39">
        <v>0.02</v>
      </c>
      <c r="X39">
        <v>0.96</v>
      </c>
      <c r="Y39">
        <v>0</v>
      </c>
      <c r="Z39">
        <v>0.02</v>
      </c>
      <c r="AA39">
        <v>0</v>
      </c>
      <c r="AB39">
        <v>1.512E-2</v>
      </c>
      <c r="AC39">
        <v>20</v>
      </c>
      <c r="AD39">
        <v>850</v>
      </c>
      <c r="AE39">
        <v>20</v>
      </c>
      <c r="AF39">
        <v>1</v>
      </c>
      <c r="AG39">
        <v>1</v>
      </c>
      <c r="AH39">
        <v>0</v>
      </c>
      <c r="AI39">
        <v>0</v>
      </c>
      <c r="AJ39">
        <v>0</v>
      </c>
      <c r="AK39">
        <v>0</v>
      </c>
      <c r="AL39" t="s">
        <v>35</v>
      </c>
      <c r="AM39">
        <v>0.97</v>
      </c>
    </row>
    <row r="40" spans="1:39" x14ac:dyDescent="0.25">
      <c r="A40" s="3" t="s">
        <v>25</v>
      </c>
      <c r="B40" t="s">
        <v>70</v>
      </c>
      <c r="C40">
        <v>200</v>
      </c>
      <c r="D40" t="s">
        <v>35</v>
      </c>
      <c r="E40" t="s">
        <v>35</v>
      </c>
      <c r="F40">
        <v>0.48209999999999997</v>
      </c>
      <c r="G40">
        <v>6.54E-2</v>
      </c>
      <c r="H40">
        <v>7.7000000000000002E-3</v>
      </c>
      <c r="I40">
        <v>8.9999999999999998E-4</v>
      </c>
      <c r="J40">
        <v>0.44390000000000002</v>
      </c>
      <c r="K40">
        <v>0.17710000000000001</v>
      </c>
      <c r="L40">
        <v>7.7799999999999994E-2</v>
      </c>
      <c r="M40">
        <v>3.0700000000000002E-2</v>
      </c>
      <c r="N40">
        <v>0.79220000000000002</v>
      </c>
      <c r="O40">
        <v>200</v>
      </c>
      <c r="P40">
        <v>0.67620000000000002</v>
      </c>
      <c r="Q40" t="s">
        <v>35</v>
      </c>
      <c r="R40" t="s">
        <v>35</v>
      </c>
      <c r="S40" t="s">
        <v>35</v>
      </c>
      <c r="T40" t="s">
        <v>35</v>
      </c>
      <c r="U40" t="s">
        <v>35</v>
      </c>
      <c r="V40">
        <v>1</v>
      </c>
      <c r="W40">
        <v>0.02</v>
      </c>
      <c r="X40">
        <v>0.96</v>
      </c>
      <c r="Y40">
        <v>0</v>
      </c>
      <c r="Z40">
        <v>0.02</v>
      </c>
      <c r="AA40">
        <v>0</v>
      </c>
      <c r="AB40">
        <v>1.512E-2</v>
      </c>
      <c r="AC40">
        <v>20</v>
      </c>
      <c r="AD40">
        <v>850</v>
      </c>
      <c r="AE40">
        <v>25</v>
      </c>
      <c r="AF40">
        <v>1</v>
      </c>
      <c r="AG40">
        <v>1</v>
      </c>
      <c r="AH40">
        <v>0</v>
      </c>
      <c r="AI40">
        <v>0</v>
      </c>
      <c r="AJ40">
        <v>0</v>
      </c>
      <c r="AK40">
        <v>0</v>
      </c>
      <c r="AL40" t="s">
        <v>35</v>
      </c>
      <c r="AM40">
        <v>0.99</v>
      </c>
    </row>
    <row r="41" spans="1:39" x14ac:dyDescent="0.25">
      <c r="A41" s="3" t="s">
        <v>25</v>
      </c>
      <c r="B41" t="s">
        <v>71</v>
      </c>
      <c r="C41">
        <v>200</v>
      </c>
      <c r="D41" t="s">
        <v>35</v>
      </c>
      <c r="E41" t="s">
        <v>35</v>
      </c>
      <c r="F41">
        <v>0.48209999999999997</v>
      </c>
      <c r="G41">
        <v>6.54E-2</v>
      </c>
      <c r="H41">
        <v>7.7000000000000002E-3</v>
      </c>
      <c r="I41">
        <v>8.9999999999999998E-4</v>
      </c>
      <c r="J41">
        <v>0.44390000000000002</v>
      </c>
      <c r="K41">
        <v>0.17710000000000001</v>
      </c>
      <c r="L41">
        <v>7.7799999999999994E-2</v>
      </c>
      <c r="M41">
        <v>3.0700000000000002E-2</v>
      </c>
      <c r="N41">
        <v>0.79220000000000002</v>
      </c>
      <c r="O41">
        <v>200</v>
      </c>
      <c r="P41">
        <v>0.67620000000000002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  <c r="V41">
        <v>1</v>
      </c>
      <c r="W41">
        <v>0.02</v>
      </c>
      <c r="X41">
        <v>0.96</v>
      </c>
      <c r="Y41">
        <v>0</v>
      </c>
      <c r="Z41">
        <v>0.02</v>
      </c>
      <c r="AA41">
        <v>0</v>
      </c>
      <c r="AB41">
        <v>1.512E-2</v>
      </c>
      <c r="AC41">
        <v>20</v>
      </c>
      <c r="AD41">
        <v>900</v>
      </c>
      <c r="AE41">
        <v>1</v>
      </c>
      <c r="AF41">
        <v>1</v>
      </c>
      <c r="AG41">
        <v>1</v>
      </c>
      <c r="AH41">
        <v>0</v>
      </c>
      <c r="AI41">
        <v>0</v>
      </c>
      <c r="AJ41">
        <v>0</v>
      </c>
      <c r="AK41">
        <v>0</v>
      </c>
      <c r="AL41" t="s">
        <v>35</v>
      </c>
      <c r="AM41">
        <v>0.1</v>
      </c>
    </row>
    <row r="42" spans="1:39" x14ac:dyDescent="0.25">
      <c r="A42" s="3" t="s">
        <v>25</v>
      </c>
      <c r="B42" t="s">
        <v>72</v>
      </c>
      <c r="C42">
        <v>200</v>
      </c>
      <c r="D42" t="s">
        <v>35</v>
      </c>
      <c r="E42" t="s">
        <v>35</v>
      </c>
      <c r="F42">
        <v>0.48209999999999997</v>
      </c>
      <c r="G42">
        <v>6.54E-2</v>
      </c>
      <c r="H42">
        <v>7.7000000000000002E-3</v>
      </c>
      <c r="I42">
        <v>8.9999999999999998E-4</v>
      </c>
      <c r="J42">
        <v>0.44390000000000002</v>
      </c>
      <c r="K42">
        <v>0.17710000000000001</v>
      </c>
      <c r="L42">
        <v>7.7799999999999994E-2</v>
      </c>
      <c r="M42">
        <v>3.0700000000000002E-2</v>
      </c>
      <c r="N42">
        <v>0.79220000000000002</v>
      </c>
      <c r="O42">
        <v>200</v>
      </c>
      <c r="P42">
        <v>0.67620000000000002</v>
      </c>
      <c r="Q42" t="s">
        <v>35</v>
      </c>
      <c r="R42" t="s">
        <v>35</v>
      </c>
      <c r="S42" t="s">
        <v>35</v>
      </c>
      <c r="T42" t="s">
        <v>35</v>
      </c>
      <c r="U42" t="s">
        <v>35</v>
      </c>
      <c r="V42">
        <v>1</v>
      </c>
      <c r="W42">
        <v>0.02</v>
      </c>
      <c r="X42">
        <v>0.96</v>
      </c>
      <c r="Y42">
        <v>0</v>
      </c>
      <c r="Z42">
        <v>0.02</v>
      </c>
      <c r="AA42">
        <v>0</v>
      </c>
      <c r="AB42">
        <v>1.512E-2</v>
      </c>
      <c r="AC42">
        <v>20</v>
      </c>
      <c r="AD42">
        <v>900</v>
      </c>
      <c r="AE42">
        <v>2</v>
      </c>
      <c r="AF42">
        <v>1</v>
      </c>
      <c r="AG42">
        <v>1</v>
      </c>
      <c r="AH42">
        <v>0</v>
      </c>
      <c r="AI42">
        <v>0</v>
      </c>
      <c r="AJ42">
        <v>0</v>
      </c>
      <c r="AK42">
        <v>0</v>
      </c>
      <c r="AL42" t="s">
        <v>35</v>
      </c>
      <c r="AM42">
        <v>0.15</v>
      </c>
    </row>
    <row r="43" spans="1:39" x14ac:dyDescent="0.25">
      <c r="A43" s="3" t="s">
        <v>25</v>
      </c>
      <c r="B43" t="s">
        <v>73</v>
      </c>
      <c r="C43">
        <v>200</v>
      </c>
      <c r="D43" t="s">
        <v>35</v>
      </c>
      <c r="E43" t="s">
        <v>35</v>
      </c>
      <c r="F43">
        <v>0.48209999999999997</v>
      </c>
      <c r="G43">
        <v>6.54E-2</v>
      </c>
      <c r="H43">
        <v>7.7000000000000002E-3</v>
      </c>
      <c r="I43">
        <v>8.9999999999999998E-4</v>
      </c>
      <c r="J43">
        <v>0.44390000000000002</v>
      </c>
      <c r="K43">
        <v>0.17710000000000001</v>
      </c>
      <c r="L43">
        <v>7.7799999999999994E-2</v>
      </c>
      <c r="M43">
        <v>3.0700000000000002E-2</v>
      </c>
      <c r="N43">
        <v>0.79220000000000002</v>
      </c>
      <c r="O43">
        <v>200</v>
      </c>
      <c r="P43">
        <v>0.67620000000000002</v>
      </c>
      <c r="Q43" t="s">
        <v>35</v>
      </c>
      <c r="R43" t="s">
        <v>35</v>
      </c>
      <c r="S43" t="s">
        <v>35</v>
      </c>
      <c r="T43" t="s">
        <v>35</v>
      </c>
      <c r="U43" t="s">
        <v>35</v>
      </c>
      <c r="V43">
        <v>1</v>
      </c>
      <c r="W43">
        <v>0.02</v>
      </c>
      <c r="X43">
        <v>0.96</v>
      </c>
      <c r="Y43">
        <v>0</v>
      </c>
      <c r="Z43">
        <v>0.02</v>
      </c>
      <c r="AA43">
        <v>0</v>
      </c>
      <c r="AB43">
        <v>1.512E-2</v>
      </c>
      <c r="AC43">
        <v>20</v>
      </c>
      <c r="AD43">
        <v>900</v>
      </c>
      <c r="AE43">
        <v>2.5</v>
      </c>
      <c r="AF43">
        <v>1</v>
      </c>
      <c r="AG43">
        <v>1</v>
      </c>
      <c r="AH43">
        <v>0</v>
      </c>
      <c r="AI43">
        <v>0</v>
      </c>
      <c r="AJ43">
        <v>0</v>
      </c>
      <c r="AK43">
        <v>0</v>
      </c>
      <c r="AL43" t="s">
        <v>35</v>
      </c>
      <c r="AM43">
        <v>0.22</v>
      </c>
    </row>
    <row r="44" spans="1:39" x14ac:dyDescent="0.25">
      <c r="A44" s="3" t="s">
        <v>25</v>
      </c>
      <c r="B44" t="s">
        <v>74</v>
      </c>
      <c r="C44">
        <v>200</v>
      </c>
      <c r="D44" t="s">
        <v>35</v>
      </c>
      <c r="E44" t="s">
        <v>35</v>
      </c>
      <c r="F44">
        <v>0.48209999999999997</v>
      </c>
      <c r="G44">
        <v>6.54E-2</v>
      </c>
      <c r="H44">
        <v>7.7000000000000002E-3</v>
      </c>
      <c r="I44">
        <v>8.9999999999999998E-4</v>
      </c>
      <c r="J44">
        <v>0.44390000000000002</v>
      </c>
      <c r="K44">
        <v>0.17710000000000001</v>
      </c>
      <c r="L44">
        <v>7.7799999999999994E-2</v>
      </c>
      <c r="M44">
        <v>3.0700000000000002E-2</v>
      </c>
      <c r="N44">
        <v>0.79220000000000002</v>
      </c>
      <c r="O44">
        <v>200</v>
      </c>
      <c r="P44">
        <v>0.67620000000000002</v>
      </c>
      <c r="Q44" t="s">
        <v>35</v>
      </c>
      <c r="R44" t="s">
        <v>35</v>
      </c>
      <c r="S44" t="s">
        <v>35</v>
      </c>
      <c r="T44" t="s">
        <v>35</v>
      </c>
      <c r="U44" t="s">
        <v>35</v>
      </c>
      <c r="V44">
        <v>1</v>
      </c>
      <c r="W44">
        <v>0.02</v>
      </c>
      <c r="X44">
        <v>0.96</v>
      </c>
      <c r="Y44">
        <v>0</v>
      </c>
      <c r="Z44">
        <v>0.02</v>
      </c>
      <c r="AA44">
        <v>0</v>
      </c>
      <c r="AB44">
        <v>1.512E-2</v>
      </c>
      <c r="AC44">
        <v>20</v>
      </c>
      <c r="AD44">
        <v>900</v>
      </c>
      <c r="AE44">
        <v>3</v>
      </c>
      <c r="AF44">
        <v>1</v>
      </c>
      <c r="AG44">
        <v>1</v>
      </c>
      <c r="AH44">
        <v>0</v>
      </c>
      <c r="AI44">
        <v>0</v>
      </c>
      <c r="AJ44">
        <v>0</v>
      </c>
      <c r="AK44">
        <v>0</v>
      </c>
      <c r="AL44" t="s">
        <v>35</v>
      </c>
      <c r="AM44">
        <v>0.32</v>
      </c>
    </row>
    <row r="45" spans="1:39" x14ac:dyDescent="0.25">
      <c r="A45" s="3" t="s">
        <v>25</v>
      </c>
      <c r="B45" t="s">
        <v>75</v>
      </c>
      <c r="C45">
        <v>200</v>
      </c>
      <c r="D45" t="s">
        <v>35</v>
      </c>
      <c r="E45" t="s">
        <v>35</v>
      </c>
      <c r="F45">
        <v>0.48209999999999997</v>
      </c>
      <c r="G45">
        <v>6.54E-2</v>
      </c>
      <c r="H45">
        <v>7.7000000000000002E-3</v>
      </c>
      <c r="I45">
        <v>8.9999999999999998E-4</v>
      </c>
      <c r="J45">
        <v>0.44390000000000002</v>
      </c>
      <c r="K45">
        <v>0.17710000000000001</v>
      </c>
      <c r="L45">
        <v>7.7799999999999994E-2</v>
      </c>
      <c r="M45">
        <v>3.0700000000000002E-2</v>
      </c>
      <c r="N45">
        <v>0.79220000000000002</v>
      </c>
      <c r="O45">
        <v>200</v>
      </c>
      <c r="P45">
        <v>0.67620000000000002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  <c r="V45">
        <v>1</v>
      </c>
      <c r="W45">
        <v>0.02</v>
      </c>
      <c r="X45">
        <v>0.96</v>
      </c>
      <c r="Y45">
        <v>0</v>
      </c>
      <c r="Z45">
        <v>0.02</v>
      </c>
      <c r="AA45">
        <v>0</v>
      </c>
      <c r="AB45">
        <v>1.512E-2</v>
      </c>
      <c r="AC45">
        <v>20</v>
      </c>
      <c r="AD45">
        <v>900</v>
      </c>
      <c r="AE45">
        <v>5</v>
      </c>
      <c r="AF45">
        <v>1</v>
      </c>
      <c r="AG45">
        <v>1</v>
      </c>
      <c r="AH45">
        <v>0</v>
      </c>
      <c r="AI45">
        <v>0</v>
      </c>
      <c r="AJ45">
        <v>0</v>
      </c>
      <c r="AK45">
        <v>0</v>
      </c>
      <c r="AL45" t="s">
        <v>35</v>
      </c>
      <c r="AM45">
        <v>0.5</v>
      </c>
    </row>
    <row r="46" spans="1:39" x14ac:dyDescent="0.25">
      <c r="A46" s="3" t="s">
        <v>25</v>
      </c>
      <c r="B46" t="s">
        <v>76</v>
      </c>
      <c r="C46">
        <v>200</v>
      </c>
      <c r="D46" t="s">
        <v>35</v>
      </c>
      <c r="E46" t="s">
        <v>35</v>
      </c>
      <c r="F46">
        <v>0.48209999999999997</v>
      </c>
      <c r="G46">
        <v>6.54E-2</v>
      </c>
      <c r="H46">
        <v>7.7000000000000002E-3</v>
      </c>
      <c r="I46">
        <v>8.9999999999999998E-4</v>
      </c>
      <c r="J46">
        <v>0.44390000000000002</v>
      </c>
      <c r="K46">
        <v>0.17710000000000001</v>
      </c>
      <c r="L46">
        <v>7.7799999999999994E-2</v>
      </c>
      <c r="M46">
        <v>3.0700000000000002E-2</v>
      </c>
      <c r="N46">
        <v>0.79220000000000002</v>
      </c>
      <c r="O46">
        <v>200</v>
      </c>
      <c r="P46">
        <v>0.67620000000000002</v>
      </c>
      <c r="Q46" t="s">
        <v>35</v>
      </c>
      <c r="R46" t="s">
        <v>35</v>
      </c>
      <c r="S46" t="s">
        <v>35</v>
      </c>
      <c r="T46" t="s">
        <v>35</v>
      </c>
      <c r="U46" t="s">
        <v>35</v>
      </c>
      <c r="V46">
        <v>1</v>
      </c>
      <c r="W46">
        <v>0.02</v>
      </c>
      <c r="X46">
        <v>0.96</v>
      </c>
      <c r="Y46">
        <v>0</v>
      </c>
      <c r="Z46">
        <v>0.02</v>
      </c>
      <c r="AA46">
        <v>0</v>
      </c>
      <c r="AB46">
        <v>1.512E-2</v>
      </c>
      <c r="AC46">
        <v>20</v>
      </c>
      <c r="AD46">
        <v>900</v>
      </c>
      <c r="AE46">
        <v>10</v>
      </c>
      <c r="AF46">
        <v>1</v>
      </c>
      <c r="AG46">
        <v>1</v>
      </c>
      <c r="AH46">
        <v>0</v>
      </c>
      <c r="AI46">
        <v>0</v>
      </c>
      <c r="AJ46">
        <v>0</v>
      </c>
      <c r="AK46">
        <v>0</v>
      </c>
      <c r="AL46" t="s">
        <v>35</v>
      </c>
      <c r="AM46">
        <v>0.8</v>
      </c>
    </row>
    <row r="47" spans="1:39" x14ac:dyDescent="0.25">
      <c r="A47" s="3" t="s">
        <v>25</v>
      </c>
      <c r="B47" t="s">
        <v>77</v>
      </c>
      <c r="C47">
        <v>200</v>
      </c>
      <c r="D47" t="s">
        <v>35</v>
      </c>
      <c r="E47" t="s">
        <v>35</v>
      </c>
      <c r="F47">
        <v>0.48209999999999997</v>
      </c>
      <c r="G47">
        <v>6.54E-2</v>
      </c>
      <c r="H47">
        <v>7.7000000000000002E-3</v>
      </c>
      <c r="I47">
        <v>8.9999999999999998E-4</v>
      </c>
      <c r="J47">
        <v>0.44390000000000002</v>
      </c>
      <c r="K47">
        <v>0.17710000000000001</v>
      </c>
      <c r="L47">
        <v>7.7799999999999994E-2</v>
      </c>
      <c r="M47">
        <v>3.0700000000000002E-2</v>
      </c>
      <c r="N47">
        <v>0.79220000000000002</v>
      </c>
      <c r="O47">
        <v>200</v>
      </c>
      <c r="P47">
        <v>0.67620000000000002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>
        <v>1</v>
      </c>
      <c r="W47">
        <v>0.02</v>
      </c>
      <c r="X47">
        <v>0.96</v>
      </c>
      <c r="Y47">
        <v>0</v>
      </c>
      <c r="Z47">
        <v>0.02</v>
      </c>
      <c r="AA47">
        <v>0</v>
      </c>
      <c r="AB47">
        <v>1.512E-2</v>
      </c>
      <c r="AC47">
        <v>20</v>
      </c>
      <c r="AD47">
        <v>900</v>
      </c>
      <c r="AE47">
        <v>15</v>
      </c>
      <c r="AF47">
        <v>1</v>
      </c>
      <c r="AG47">
        <v>1</v>
      </c>
      <c r="AH47">
        <v>0</v>
      </c>
      <c r="AI47">
        <v>0</v>
      </c>
      <c r="AJ47">
        <v>0</v>
      </c>
      <c r="AK47">
        <v>0</v>
      </c>
      <c r="AL47" t="s">
        <v>35</v>
      </c>
      <c r="AM47">
        <v>0.92</v>
      </c>
    </row>
    <row r="48" spans="1:39" x14ac:dyDescent="0.25">
      <c r="A48" s="3" t="s">
        <v>25</v>
      </c>
      <c r="B48" t="s">
        <v>78</v>
      </c>
      <c r="C48">
        <v>200</v>
      </c>
      <c r="D48" t="s">
        <v>35</v>
      </c>
      <c r="E48" t="s">
        <v>35</v>
      </c>
      <c r="F48">
        <v>0.48209999999999997</v>
      </c>
      <c r="G48">
        <v>6.54E-2</v>
      </c>
      <c r="H48">
        <v>7.7000000000000002E-3</v>
      </c>
      <c r="I48">
        <v>8.9999999999999998E-4</v>
      </c>
      <c r="J48">
        <v>0.44390000000000002</v>
      </c>
      <c r="K48">
        <v>0.17710000000000001</v>
      </c>
      <c r="L48">
        <v>7.7799999999999994E-2</v>
      </c>
      <c r="M48">
        <v>3.0700000000000002E-2</v>
      </c>
      <c r="N48">
        <v>0.79220000000000002</v>
      </c>
      <c r="O48">
        <v>200</v>
      </c>
      <c r="P48">
        <v>0.67620000000000002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>
        <v>1</v>
      </c>
      <c r="W48">
        <v>0.02</v>
      </c>
      <c r="X48">
        <v>0.96</v>
      </c>
      <c r="Y48">
        <v>0</v>
      </c>
      <c r="Z48">
        <v>0.02</v>
      </c>
      <c r="AA48">
        <v>0</v>
      </c>
      <c r="AB48">
        <v>1.512E-2</v>
      </c>
      <c r="AC48">
        <v>20</v>
      </c>
      <c r="AD48">
        <v>900</v>
      </c>
      <c r="AE48">
        <v>20</v>
      </c>
      <c r="AF48">
        <v>1</v>
      </c>
      <c r="AG48">
        <v>1</v>
      </c>
      <c r="AH48">
        <v>0</v>
      </c>
      <c r="AI48">
        <v>0</v>
      </c>
      <c r="AJ48">
        <v>0</v>
      </c>
      <c r="AK48">
        <v>0</v>
      </c>
      <c r="AL48" t="s">
        <v>35</v>
      </c>
      <c r="AM48">
        <v>1</v>
      </c>
    </row>
    <row r="49" spans="1:39" x14ac:dyDescent="0.25">
      <c r="A49" s="3" t="s">
        <v>25</v>
      </c>
      <c r="B49" t="s">
        <v>79</v>
      </c>
      <c r="C49">
        <v>200</v>
      </c>
      <c r="D49" t="s">
        <v>35</v>
      </c>
      <c r="E49" t="s">
        <v>35</v>
      </c>
      <c r="F49">
        <v>0.48209999999999997</v>
      </c>
      <c r="G49">
        <v>6.54E-2</v>
      </c>
      <c r="H49">
        <v>7.7000000000000002E-3</v>
      </c>
      <c r="I49">
        <v>8.9999999999999998E-4</v>
      </c>
      <c r="J49">
        <v>0.44390000000000002</v>
      </c>
      <c r="K49">
        <v>0.17710000000000001</v>
      </c>
      <c r="L49">
        <v>7.7799999999999994E-2</v>
      </c>
      <c r="M49">
        <v>3.0700000000000002E-2</v>
      </c>
      <c r="N49">
        <v>0.79220000000000002</v>
      </c>
      <c r="O49">
        <v>200</v>
      </c>
      <c r="P49">
        <v>0.67620000000000002</v>
      </c>
      <c r="Q49" t="s">
        <v>35</v>
      </c>
      <c r="R49" t="s">
        <v>35</v>
      </c>
      <c r="S49" t="s">
        <v>35</v>
      </c>
      <c r="T49" t="s">
        <v>35</v>
      </c>
      <c r="U49" t="s">
        <v>35</v>
      </c>
      <c r="V49">
        <v>1</v>
      </c>
      <c r="W49">
        <v>0.02</v>
      </c>
      <c r="X49">
        <v>0.96</v>
      </c>
      <c r="Y49">
        <v>0</v>
      </c>
      <c r="Z49">
        <v>0.02</v>
      </c>
      <c r="AA49">
        <v>0</v>
      </c>
      <c r="AB49">
        <v>1.512E-2</v>
      </c>
      <c r="AC49">
        <v>20</v>
      </c>
      <c r="AD49">
        <v>900</v>
      </c>
      <c r="AE49">
        <v>25</v>
      </c>
      <c r="AF49">
        <v>1</v>
      </c>
      <c r="AG49">
        <v>1</v>
      </c>
      <c r="AH49">
        <v>0</v>
      </c>
      <c r="AI49">
        <v>0</v>
      </c>
      <c r="AJ49">
        <v>0</v>
      </c>
      <c r="AK49">
        <v>0</v>
      </c>
      <c r="AL49" t="s">
        <v>35</v>
      </c>
      <c r="AM49">
        <v>1</v>
      </c>
    </row>
    <row r="50" spans="1:39" x14ac:dyDescent="0.25">
      <c r="A50" s="3" t="s">
        <v>25</v>
      </c>
      <c r="B50" t="s">
        <v>80</v>
      </c>
      <c r="C50">
        <v>200</v>
      </c>
      <c r="D50" t="s">
        <v>35</v>
      </c>
      <c r="E50" t="s">
        <v>35</v>
      </c>
      <c r="F50">
        <v>0.48209999999999997</v>
      </c>
      <c r="G50">
        <v>6.54E-2</v>
      </c>
      <c r="H50">
        <v>7.7000000000000002E-3</v>
      </c>
      <c r="I50">
        <v>8.9999999999999998E-4</v>
      </c>
      <c r="J50">
        <v>0.44390000000000002</v>
      </c>
      <c r="K50">
        <v>0.17710000000000001</v>
      </c>
      <c r="L50">
        <v>7.7799999999999994E-2</v>
      </c>
      <c r="M50">
        <v>3.0700000000000002E-2</v>
      </c>
      <c r="N50">
        <v>0.79220000000000002</v>
      </c>
      <c r="O50">
        <v>200</v>
      </c>
      <c r="P50">
        <v>0.67620000000000002</v>
      </c>
      <c r="Q50" t="s">
        <v>35</v>
      </c>
      <c r="R50" t="s">
        <v>35</v>
      </c>
      <c r="S50" t="s">
        <v>35</v>
      </c>
      <c r="T50" t="s">
        <v>35</v>
      </c>
      <c r="U50" t="s">
        <v>35</v>
      </c>
      <c r="V50">
        <v>1</v>
      </c>
      <c r="W50">
        <v>0.02</v>
      </c>
      <c r="X50">
        <v>0.96</v>
      </c>
      <c r="Y50">
        <v>0</v>
      </c>
      <c r="Z50">
        <v>0.02</v>
      </c>
      <c r="AA50">
        <v>0</v>
      </c>
      <c r="AB50">
        <v>1.512E-2</v>
      </c>
      <c r="AC50">
        <v>20</v>
      </c>
      <c r="AD50">
        <v>950</v>
      </c>
      <c r="AE50">
        <v>1</v>
      </c>
      <c r="AF50">
        <v>1</v>
      </c>
      <c r="AG50">
        <v>1</v>
      </c>
      <c r="AH50">
        <v>0</v>
      </c>
      <c r="AI50">
        <v>0</v>
      </c>
      <c r="AJ50">
        <v>0</v>
      </c>
      <c r="AK50">
        <v>0</v>
      </c>
      <c r="AL50" t="s">
        <v>35</v>
      </c>
      <c r="AM50">
        <v>0.1</v>
      </c>
    </row>
    <row r="51" spans="1:39" x14ac:dyDescent="0.25">
      <c r="A51" s="3" t="s">
        <v>25</v>
      </c>
      <c r="B51" t="s">
        <v>81</v>
      </c>
      <c r="C51">
        <v>200</v>
      </c>
      <c r="D51" t="s">
        <v>35</v>
      </c>
      <c r="E51" t="s">
        <v>35</v>
      </c>
      <c r="F51">
        <v>0.48209999999999997</v>
      </c>
      <c r="G51">
        <v>6.54E-2</v>
      </c>
      <c r="H51">
        <v>7.7000000000000002E-3</v>
      </c>
      <c r="I51">
        <v>8.9999999999999998E-4</v>
      </c>
      <c r="J51">
        <v>0.44390000000000002</v>
      </c>
      <c r="K51">
        <v>0.17710000000000001</v>
      </c>
      <c r="L51">
        <v>7.7799999999999994E-2</v>
      </c>
      <c r="M51">
        <v>3.0700000000000002E-2</v>
      </c>
      <c r="N51">
        <v>0.79220000000000002</v>
      </c>
      <c r="O51">
        <v>200</v>
      </c>
      <c r="P51">
        <v>0.67620000000000002</v>
      </c>
      <c r="Q51" t="s">
        <v>35</v>
      </c>
      <c r="R51" t="s">
        <v>35</v>
      </c>
      <c r="S51" t="s">
        <v>35</v>
      </c>
      <c r="T51" t="s">
        <v>35</v>
      </c>
      <c r="U51" t="s">
        <v>35</v>
      </c>
      <c r="V51">
        <v>1</v>
      </c>
      <c r="W51">
        <v>0.02</v>
      </c>
      <c r="X51">
        <v>0.96</v>
      </c>
      <c r="Y51">
        <v>0</v>
      </c>
      <c r="Z51">
        <v>0.02</v>
      </c>
      <c r="AA51">
        <v>0</v>
      </c>
      <c r="AB51">
        <v>1.512E-2</v>
      </c>
      <c r="AC51">
        <v>20</v>
      </c>
      <c r="AD51">
        <v>950</v>
      </c>
      <c r="AE51">
        <v>2</v>
      </c>
      <c r="AF51">
        <v>1</v>
      </c>
      <c r="AG51">
        <v>1</v>
      </c>
      <c r="AH51">
        <v>0</v>
      </c>
      <c r="AI51">
        <v>0</v>
      </c>
      <c r="AJ51">
        <v>0</v>
      </c>
      <c r="AK51">
        <v>0</v>
      </c>
      <c r="AL51" t="s">
        <v>35</v>
      </c>
      <c r="AM51">
        <v>0.15</v>
      </c>
    </row>
    <row r="52" spans="1:39" x14ac:dyDescent="0.25">
      <c r="A52" s="3" t="s">
        <v>25</v>
      </c>
      <c r="B52" t="s">
        <v>82</v>
      </c>
      <c r="C52">
        <v>200</v>
      </c>
      <c r="D52" t="s">
        <v>35</v>
      </c>
      <c r="E52" t="s">
        <v>35</v>
      </c>
      <c r="F52">
        <v>0.48209999999999997</v>
      </c>
      <c r="G52">
        <v>6.54E-2</v>
      </c>
      <c r="H52">
        <v>7.7000000000000002E-3</v>
      </c>
      <c r="I52">
        <v>8.9999999999999998E-4</v>
      </c>
      <c r="J52">
        <v>0.44390000000000002</v>
      </c>
      <c r="K52">
        <v>0.17710000000000001</v>
      </c>
      <c r="L52">
        <v>7.7799999999999994E-2</v>
      </c>
      <c r="M52">
        <v>3.0700000000000002E-2</v>
      </c>
      <c r="N52">
        <v>0.79220000000000002</v>
      </c>
      <c r="O52">
        <v>200</v>
      </c>
      <c r="P52">
        <v>0.67620000000000002</v>
      </c>
      <c r="Q52" t="s">
        <v>35</v>
      </c>
      <c r="R52" t="s">
        <v>35</v>
      </c>
      <c r="S52" t="s">
        <v>35</v>
      </c>
      <c r="T52" t="s">
        <v>35</v>
      </c>
      <c r="U52" t="s">
        <v>35</v>
      </c>
      <c r="V52">
        <v>1</v>
      </c>
      <c r="W52">
        <v>0.02</v>
      </c>
      <c r="X52">
        <v>0.96</v>
      </c>
      <c r="Y52">
        <v>0</v>
      </c>
      <c r="Z52">
        <v>0.02</v>
      </c>
      <c r="AA52">
        <v>0</v>
      </c>
      <c r="AB52">
        <v>1.512E-2</v>
      </c>
      <c r="AC52">
        <v>20</v>
      </c>
      <c r="AD52">
        <v>950</v>
      </c>
      <c r="AE52">
        <v>2.5</v>
      </c>
      <c r="AF52">
        <v>1</v>
      </c>
      <c r="AG52">
        <v>1</v>
      </c>
      <c r="AH52">
        <v>0</v>
      </c>
      <c r="AI52">
        <v>0</v>
      </c>
      <c r="AJ52">
        <v>0</v>
      </c>
      <c r="AK52">
        <v>0</v>
      </c>
      <c r="AL52" t="s">
        <v>35</v>
      </c>
      <c r="AM52">
        <v>0.23</v>
      </c>
    </row>
    <row r="53" spans="1:39" x14ac:dyDescent="0.25">
      <c r="A53" s="3" t="s">
        <v>25</v>
      </c>
      <c r="B53" t="s">
        <v>83</v>
      </c>
      <c r="C53">
        <v>200</v>
      </c>
      <c r="D53" t="s">
        <v>35</v>
      </c>
      <c r="E53" t="s">
        <v>35</v>
      </c>
      <c r="F53">
        <v>0.48209999999999997</v>
      </c>
      <c r="G53">
        <v>6.54E-2</v>
      </c>
      <c r="H53">
        <v>7.7000000000000002E-3</v>
      </c>
      <c r="I53">
        <v>8.9999999999999998E-4</v>
      </c>
      <c r="J53">
        <v>0.44390000000000002</v>
      </c>
      <c r="K53">
        <v>0.17710000000000001</v>
      </c>
      <c r="L53">
        <v>7.7799999999999994E-2</v>
      </c>
      <c r="M53">
        <v>3.0700000000000002E-2</v>
      </c>
      <c r="N53">
        <v>0.79220000000000002</v>
      </c>
      <c r="O53">
        <v>200</v>
      </c>
      <c r="P53">
        <v>0.67620000000000002</v>
      </c>
      <c r="Q53" t="s">
        <v>35</v>
      </c>
      <c r="R53" t="s">
        <v>35</v>
      </c>
      <c r="S53" t="s">
        <v>35</v>
      </c>
      <c r="T53" t="s">
        <v>35</v>
      </c>
      <c r="U53" t="s">
        <v>35</v>
      </c>
      <c r="V53">
        <v>1</v>
      </c>
      <c r="W53">
        <v>0.02</v>
      </c>
      <c r="X53">
        <v>0.96</v>
      </c>
      <c r="Y53">
        <v>0</v>
      </c>
      <c r="Z53">
        <v>0.02</v>
      </c>
      <c r="AA53">
        <v>0</v>
      </c>
      <c r="AB53">
        <v>1.512E-2</v>
      </c>
      <c r="AC53">
        <v>20</v>
      </c>
      <c r="AD53">
        <v>950</v>
      </c>
      <c r="AE53">
        <v>3</v>
      </c>
      <c r="AF53">
        <v>1</v>
      </c>
      <c r="AG53">
        <v>1</v>
      </c>
      <c r="AH53">
        <v>0</v>
      </c>
      <c r="AI53">
        <v>0</v>
      </c>
      <c r="AJ53">
        <v>0</v>
      </c>
      <c r="AK53">
        <v>0</v>
      </c>
      <c r="AL53" t="s">
        <v>35</v>
      </c>
      <c r="AM53">
        <v>0.375</v>
      </c>
    </row>
    <row r="54" spans="1:39" x14ac:dyDescent="0.25">
      <c r="A54" s="3" t="s">
        <v>25</v>
      </c>
      <c r="B54" t="s">
        <v>84</v>
      </c>
      <c r="C54">
        <v>200</v>
      </c>
      <c r="D54" t="s">
        <v>35</v>
      </c>
      <c r="E54" t="s">
        <v>35</v>
      </c>
      <c r="F54">
        <v>0.48209999999999997</v>
      </c>
      <c r="G54">
        <v>6.54E-2</v>
      </c>
      <c r="H54">
        <v>7.7000000000000002E-3</v>
      </c>
      <c r="I54">
        <v>8.9999999999999998E-4</v>
      </c>
      <c r="J54">
        <v>0.44390000000000002</v>
      </c>
      <c r="K54">
        <v>0.17710000000000001</v>
      </c>
      <c r="L54">
        <v>7.7799999999999994E-2</v>
      </c>
      <c r="M54">
        <v>3.0700000000000002E-2</v>
      </c>
      <c r="N54">
        <v>0.79220000000000002</v>
      </c>
      <c r="O54">
        <v>200</v>
      </c>
      <c r="P54">
        <v>0.67620000000000002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>
        <v>1</v>
      </c>
      <c r="W54">
        <v>0.02</v>
      </c>
      <c r="X54">
        <v>0.96</v>
      </c>
      <c r="Y54">
        <v>0</v>
      </c>
      <c r="Z54">
        <v>0.02</v>
      </c>
      <c r="AA54">
        <v>0</v>
      </c>
      <c r="AB54">
        <v>1.512E-2</v>
      </c>
      <c r="AC54">
        <v>20</v>
      </c>
      <c r="AD54">
        <v>950</v>
      </c>
      <c r="AE54">
        <v>5</v>
      </c>
      <c r="AF54">
        <v>1</v>
      </c>
      <c r="AG54">
        <v>1</v>
      </c>
      <c r="AH54">
        <v>0</v>
      </c>
      <c r="AI54">
        <v>0</v>
      </c>
      <c r="AJ54">
        <v>0</v>
      </c>
      <c r="AK54">
        <v>0</v>
      </c>
      <c r="AL54" t="s">
        <v>35</v>
      </c>
      <c r="AM54">
        <v>0.56999999999999995</v>
      </c>
    </row>
    <row r="55" spans="1:39" x14ac:dyDescent="0.25">
      <c r="A55" s="3" t="s">
        <v>25</v>
      </c>
      <c r="B55" t="s">
        <v>85</v>
      </c>
      <c r="C55">
        <v>200</v>
      </c>
      <c r="D55" t="s">
        <v>35</v>
      </c>
      <c r="E55" t="s">
        <v>35</v>
      </c>
      <c r="F55">
        <v>0.48209999999999997</v>
      </c>
      <c r="G55">
        <v>6.54E-2</v>
      </c>
      <c r="H55">
        <v>7.7000000000000002E-3</v>
      </c>
      <c r="I55">
        <v>8.9999999999999998E-4</v>
      </c>
      <c r="J55">
        <v>0.44390000000000002</v>
      </c>
      <c r="K55">
        <v>0.17710000000000001</v>
      </c>
      <c r="L55">
        <v>7.7799999999999994E-2</v>
      </c>
      <c r="M55">
        <v>3.0700000000000002E-2</v>
      </c>
      <c r="N55">
        <v>0.79220000000000002</v>
      </c>
      <c r="O55">
        <v>200</v>
      </c>
      <c r="P55">
        <v>0.67620000000000002</v>
      </c>
      <c r="Q55" t="s">
        <v>35</v>
      </c>
      <c r="R55" t="s">
        <v>35</v>
      </c>
      <c r="S55" t="s">
        <v>35</v>
      </c>
      <c r="T55" t="s">
        <v>35</v>
      </c>
      <c r="U55" t="s">
        <v>35</v>
      </c>
      <c r="V55">
        <v>1</v>
      </c>
      <c r="W55">
        <v>0.02</v>
      </c>
      <c r="X55">
        <v>0.96</v>
      </c>
      <c r="Y55">
        <v>0</v>
      </c>
      <c r="Z55">
        <v>0.02</v>
      </c>
      <c r="AA55">
        <v>0</v>
      </c>
      <c r="AB55">
        <v>1.512E-2</v>
      </c>
      <c r="AC55">
        <v>20</v>
      </c>
      <c r="AD55">
        <v>950</v>
      </c>
      <c r="AE55">
        <v>10</v>
      </c>
      <c r="AF55">
        <v>1</v>
      </c>
      <c r="AG55">
        <v>1</v>
      </c>
      <c r="AH55">
        <v>0</v>
      </c>
      <c r="AI55">
        <v>0</v>
      </c>
      <c r="AJ55">
        <v>0</v>
      </c>
      <c r="AK55">
        <v>0</v>
      </c>
      <c r="AL55" t="s">
        <v>35</v>
      </c>
      <c r="AM55">
        <v>0.86</v>
      </c>
    </row>
    <row r="56" spans="1:39" x14ac:dyDescent="0.25">
      <c r="A56" s="3" t="s">
        <v>25</v>
      </c>
      <c r="B56" t="s">
        <v>86</v>
      </c>
      <c r="C56">
        <v>200</v>
      </c>
      <c r="D56" t="s">
        <v>35</v>
      </c>
      <c r="E56" t="s">
        <v>35</v>
      </c>
      <c r="F56">
        <v>0.48209999999999997</v>
      </c>
      <c r="G56">
        <v>6.54E-2</v>
      </c>
      <c r="H56">
        <v>7.7000000000000002E-3</v>
      </c>
      <c r="I56">
        <v>8.9999999999999998E-4</v>
      </c>
      <c r="J56">
        <v>0.44390000000000002</v>
      </c>
      <c r="K56">
        <v>0.17710000000000001</v>
      </c>
      <c r="L56">
        <v>7.7799999999999994E-2</v>
      </c>
      <c r="M56">
        <v>3.0700000000000002E-2</v>
      </c>
      <c r="N56">
        <v>0.79220000000000002</v>
      </c>
      <c r="O56">
        <v>200</v>
      </c>
      <c r="P56">
        <v>0.67620000000000002</v>
      </c>
      <c r="Q56" t="s">
        <v>35</v>
      </c>
      <c r="R56" t="s">
        <v>35</v>
      </c>
      <c r="S56" t="s">
        <v>35</v>
      </c>
      <c r="T56" t="s">
        <v>35</v>
      </c>
      <c r="U56" t="s">
        <v>35</v>
      </c>
      <c r="V56">
        <v>1</v>
      </c>
      <c r="W56">
        <v>0.02</v>
      </c>
      <c r="X56">
        <v>0.96</v>
      </c>
      <c r="Y56">
        <v>0</v>
      </c>
      <c r="Z56">
        <v>0.02</v>
      </c>
      <c r="AA56">
        <v>0</v>
      </c>
      <c r="AB56">
        <v>1.512E-2</v>
      </c>
      <c r="AC56">
        <v>20</v>
      </c>
      <c r="AD56">
        <v>950</v>
      </c>
      <c r="AE56">
        <v>15</v>
      </c>
      <c r="AF56">
        <v>1</v>
      </c>
      <c r="AG56">
        <v>1</v>
      </c>
      <c r="AH56">
        <v>0</v>
      </c>
      <c r="AI56">
        <v>0</v>
      </c>
      <c r="AJ56">
        <v>0</v>
      </c>
      <c r="AK56">
        <v>0</v>
      </c>
      <c r="AL56" t="s">
        <v>35</v>
      </c>
      <c r="AM56">
        <v>0.96</v>
      </c>
    </row>
    <row r="57" spans="1:39" x14ac:dyDescent="0.25">
      <c r="A57" s="3" t="s">
        <v>25</v>
      </c>
      <c r="B57" t="s">
        <v>87</v>
      </c>
      <c r="C57">
        <v>200</v>
      </c>
      <c r="D57" t="s">
        <v>35</v>
      </c>
      <c r="E57" t="s">
        <v>35</v>
      </c>
      <c r="F57">
        <v>0.48209999999999997</v>
      </c>
      <c r="G57">
        <v>6.54E-2</v>
      </c>
      <c r="H57">
        <v>7.7000000000000002E-3</v>
      </c>
      <c r="I57">
        <v>8.9999999999999998E-4</v>
      </c>
      <c r="J57">
        <v>0.44390000000000002</v>
      </c>
      <c r="K57">
        <v>0.17710000000000001</v>
      </c>
      <c r="L57">
        <v>7.7799999999999994E-2</v>
      </c>
      <c r="M57">
        <v>3.0700000000000002E-2</v>
      </c>
      <c r="N57">
        <v>0.79220000000000002</v>
      </c>
      <c r="O57">
        <v>200</v>
      </c>
      <c r="P57">
        <v>0.67620000000000002</v>
      </c>
      <c r="Q57" t="s">
        <v>35</v>
      </c>
      <c r="R57" t="s">
        <v>35</v>
      </c>
      <c r="S57" t="s">
        <v>35</v>
      </c>
      <c r="T57" t="s">
        <v>35</v>
      </c>
      <c r="U57" t="s">
        <v>35</v>
      </c>
      <c r="V57">
        <v>1</v>
      </c>
      <c r="W57">
        <v>0.02</v>
      </c>
      <c r="X57">
        <v>0.96</v>
      </c>
      <c r="Y57">
        <v>0</v>
      </c>
      <c r="Z57">
        <v>0.02</v>
      </c>
      <c r="AA57">
        <v>0</v>
      </c>
      <c r="AB57">
        <v>1.512E-2</v>
      </c>
      <c r="AC57">
        <v>20</v>
      </c>
      <c r="AD57">
        <v>950</v>
      </c>
      <c r="AE57">
        <v>20</v>
      </c>
      <c r="AF57">
        <v>1</v>
      </c>
      <c r="AG57">
        <v>1</v>
      </c>
      <c r="AH57">
        <v>0</v>
      </c>
      <c r="AI57">
        <v>0</v>
      </c>
      <c r="AJ57">
        <v>0</v>
      </c>
      <c r="AK57">
        <v>0</v>
      </c>
      <c r="AL57" t="s">
        <v>35</v>
      </c>
      <c r="AM57">
        <v>1</v>
      </c>
    </row>
    <row r="58" spans="1:39" x14ac:dyDescent="0.25">
      <c r="A58" s="3" t="s">
        <v>25</v>
      </c>
      <c r="B58" t="s">
        <v>88</v>
      </c>
      <c r="C58">
        <v>200</v>
      </c>
      <c r="D58" t="s">
        <v>35</v>
      </c>
      <c r="E58" t="s">
        <v>35</v>
      </c>
      <c r="F58">
        <v>0.48209999999999997</v>
      </c>
      <c r="G58">
        <v>6.54E-2</v>
      </c>
      <c r="H58">
        <v>7.7000000000000002E-3</v>
      </c>
      <c r="I58">
        <v>8.9999999999999998E-4</v>
      </c>
      <c r="J58">
        <v>0.44390000000000002</v>
      </c>
      <c r="K58">
        <v>0.17710000000000001</v>
      </c>
      <c r="L58">
        <v>7.7799999999999994E-2</v>
      </c>
      <c r="M58">
        <v>3.0700000000000002E-2</v>
      </c>
      <c r="N58">
        <v>0.79220000000000002</v>
      </c>
      <c r="O58">
        <v>200</v>
      </c>
      <c r="P58">
        <v>0.67620000000000002</v>
      </c>
      <c r="Q58" t="s">
        <v>35</v>
      </c>
      <c r="R58" t="s">
        <v>35</v>
      </c>
      <c r="S58" t="s">
        <v>35</v>
      </c>
      <c r="T58" t="s">
        <v>35</v>
      </c>
      <c r="U58" t="s">
        <v>35</v>
      </c>
      <c r="V58">
        <v>1</v>
      </c>
      <c r="W58">
        <v>0.02</v>
      </c>
      <c r="X58">
        <v>0.96</v>
      </c>
      <c r="Y58">
        <v>0</v>
      </c>
      <c r="Z58">
        <v>0.02</v>
      </c>
      <c r="AA58">
        <v>0</v>
      </c>
      <c r="AB58">
        <v>1.512E-2</v>
      </c>
      <c r="AC58">
        <v>20</v>
      </c>
      <c r="AD58">
        <v>950</v>
      </c>
      <c r="AE58">
        <v>25</v>
      </c>
      <c r="AF58">
        <v>1</v>
      </c>
      <c r="AG58">
        <v>1</v>
      </c>
      <c r="AH58">
        <v>0</v>
      </c>
      <c r="AI58">
        <v>0</v>
      </c>
      <c r="AJ58">
        <v>0</v>
      </c>
      <c r="AK58">
        <v>0</v>
      </c>
      <c r="AL58" t="s">
        <v>35</v>
      </c>
      <c r="AM58">
        <v>1</v>
      </c>
    </row>
    <row r="59" spans="1:39" x14ac:dyDescent="0.25">
      <c r="A59" s="3" t="s">
        <v>25</v>
      </c>
      <c r="B59" t="s">
        <v>89</v>
      </c>
      <c r="C59">
        <v>200</v>
      </c>
      <c r="D59" t="s">
        <v>35</v>
      </c>
      <c r="E59" t="s">
        <v>35</v>
      </c>
      <c r="F59">
        <v>0.48209999999999997</v>
      </c>
      <c r="G59">
        <v>6.54E-2</v>
      </c>
      <c r="H59">
        <v>7.7000000000000002E-3</v>
      </c>
      <c r="I59">
        <v>8.9999999999999998E-4</v>
      </c>
      <c r="J59">
        <v>0.44390000000000002</v>
      </c>
      <c r="K59">
        <v>0.17710000000000001</v>
      </c>
      <c r="L59">
        <v>7.7799999999999994E-2</v>
      </c>
      <c r="M59">
        <v>3.0700000000000002E-2</v>
      </c>
      <c r="N59">
        <v>0.79220000000000002</v>
      </c>
      <c r="O59">
        <v>200</v>
      </c>
      <c r="P59">
        <v>0.67620000000000002</v>
      </c>
      <c r="Q59" t="s">
        <v>35</v>
      </c>
      <c r="R59" t="s">
        <v>35</v>
      </c>
      <c r="S59" t="s">
        <v>35</v>
      </c>
      <c r="T59" t="s">
        <v>35</v>
      </c>
      <c r="U59" t="s">
        <v>35</v>
      </c>
      <c r="V59">
        <v>1</v>
      </c>
      <c r="W59">
        <v>0.02</v>
      </c>
      <c r="X59">
        <v>0.96</v>
      </c>
      <c r="Y59">
        <v>0</v>
      </c>
      <c r="Z59">
        <v>0.02</v>
      </c>
      <c r="AA59">
        <v>0</v>
      </c>
      <c r="AB59">
        <v>1.512E-2</v>
      </c>
      <c r="AC59">
        <v>20</v>
      </c>
      <c r="AD59">
        <v>1000</v>
      </c>
      <c r="AE59">
        <v>1</v>
      </c>
      <c r="AF59">
        <v>1</v>
      </c>
      <c r="AG59">
        <v>1</v>
      </c>
      <c r="AH59">
        <v>0</v>
      </c>
      <c r="AI59">
        <v>0</v>
      </c>
      <c r="AJ59">
        <v>0</v>
      </c>
      <c r="AK59">
        <v>0</v>
      </c>
      <c r="AL59" t="s">
        <v>35</v>
      </c>
      <c r="AM59">
        <v>0.1</v>
      </c>
    </row>
    <row r="60" spans="1:39" x14ac:dyDescent="0.25">
      <c r="A60" s="3" t="s">
        <v>25</v>
      </c>
      <c r="B60" t="s">
        <v>90</v>
      </c>
      <c r="C60">
        <v>200</v>
      </c>
      <c r="D60" t="s">
        <v>35</v>
      </c>
      <c r="E60" t="s">
        <v>35</v>
      </c>
      <c r="F60">
        <v>0.48209999999999997</v>
      </c>
      <c r="G60">
        <v>6.54E-2</v>
      </c>
      <c r="H60">
        <v>7.7000000000000002E-3</v>
      </c>
      <c r="I60">
        <v>8.9999999999999998E-4</v>
      </c>
      <c r="J60">
        <v>0.44390000000000002</v>
      </c>
      <c r="K60">
        <v>0.17710000000000001</v>
      </c>
      <c r="L60">
        <v>7.7799999999999994E-2</v>
      </c>
      <c r="M60">
        <v>3.0700000000000002E-2</v>
      </c>
      <c r="N60">
        <v>0.79220000000000002</v>
      </c>
      <c r="O60">
        <v>200</v>
      </c>
      <c r="P60">
        <v>0.67620000000000002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  <c r="V60">
        <v>1</v>
      </c>
      <c r="W60">
        <v>0.02</v>
      </c>
      <c r="X60">
        <v>0.96</v>
      </c>
      <c r="Y60">
        <v>0</v>
      </c>
      <c r="Z60">
        <v>0.02</v>
      </c>
      <c r="AA60">
        <v>0</v>
      </c>
      <c r="AB60">
        <v>1.512E-2</v>
      </c>
      <c r="AC60">
        <v>20</v>
      </c>
      <c r="AD60">
        <v>1000</v>
      </c>
      <c r="AE60">
        <v>2</v>
      </c>
      <c r="AF60">
        <v>1</v>
      </c>
      <c r="AG60">
        <v>1</v>
      </c>
      <c r="AH60">
        <v>0</v>
      </c>
      <c r="AI60">
        <v>0</v>
      </c>
      <c r="AJ60">
        <v>0</v>
      </c>
      <c r="AK60">
        <v>0</v>
      </c>
      <c r="AL60" t="s">
        <v>35</v>
      </c>
      <c r="AM60">
        <v>0.18</v>
      </c>
    </row>
    <row r="61" spans="1:39" x14ac:dyDescent="0.25">
      <c r="A61" s="3" t="s">
        <v>25</v>
      </c>
      <c r="B61" t="s">
        <v>91</v>
      </c>
      <c r="C61">
        <v>200</v>
      </c>
      <c r="D61" t="s">
        <v>35</v>
      </c>
      <c r="E61" t="s">
        <v>35</v>
      </c>
      <c r="F61">
        <v>0.48209999999999997</v>
      </c>
      <c r="G61">
        <v>6.54E-2</v>
      </c>
      <c r="H61">
        <v>7.7000000000000002E-3</v>
      </c>
      <c r="I61">
        <v>8.9999999999999998E-4</v>
      </c>
      <c r="J61">
        <v>0.44390000000000002</v>
      </c>
      <c r="K61">
        <v>0.17710000000000001</v>
      </c>
      <c r="L61">
        <v>7.7799999999999994E-2</v>
      </c>
      <c r="M61">
        <v>3.0700000000000002E-2</v>
      </c>
      <c r="N61">
        <v>0.79220000000000002</v>
      </c>
      <c r="O61">
        <v>200</v>
      </c>
      <c r="P61">
        <v>0.67620000000000002</v>
      </c>
      <c r="Q61" t="s">
        <v>35</v>
      </c>
      <c r="R61" t="s">
        <v>35</v>
      </c>
      <c r="S61" t="s">
        <v>35</v>
      </c>
      <c r="T61" t="s">
        <v>35</v>
      </c>
      <c r="U61" t="s">
        <v>35</v>
      </c>
      <c r="V61">
        <v>1</v>
      </c>
      <c r="W61">
        <v>0.02</v>
      </c>
      <c r="X61">
        <v>0.96</v>
      </c>
      <c r="Y61">
        <v>0</v>
      </c>
      <c r="Z61">
        <v>0.02</v>
      </c>
      <c r="AA61">
        <v>0</v>
      </c>
      <c r="AB61">
        <v>1.512E-2</v>
      </c>
      <c r="AC61">
        <v>20</v>
      </c>
      <c r="AD61">
        <v>1000</v>
      </c>
      <c r="AE61">
        <v>2.5</v>
      </c>
      <c r="AF61">
        <v>1</v>
      </c>
      <c r="AG61">
        <v>1</v>
      </c>
      <c r="AH61">
        <v>0</v>
      </c>
      <c r="AI61">
        <v>0</v>
      </c>
      <c r="AJ61">
        <v>0</v>
      </c>
      <c r="AK61">
        <v>0</v>
      </c>
      <c r="AL61" t="s">
        <v>35</v>
      </c>
      <c r="AM61">
        <v>0.3</v>
      </c>
    </row>
    <row r="62" spans="1:39" x14ac:dyDescent="0.25">
      <c r="A62" s="3" t="s">
        <v>25</v>
      </c>
      <c r="B62" t="s">
        <v>92</v>
      </c>
      <c r="C62">
        <v>200</v>
      </c>
      <c r="D62" t="s">
        <v>35</v>
      </c>
      <c r="E62" t="s">
        <v>35</v>
      </c>
      <c r="F62">
        <v>0.48209999999999997</v>
      </c>
      <c r="G62">
        <v>6.54E-2</v>
      </c>
      <c r="H62">
        <v>7.7000000000000002E-3</v>
      </c>
      <c r="I62">
        <v>8.9999999999999998E-4</v>
      </c>
      <c r="J62">
        <v>0.44390000000000002</v>
      </c>
      <c r="K62">
        <v>0.17710000000000001</v>
      </c>
      <c r="L62">
        <v>7.7799999999999994E-2</v>
      </c>
      <c r="M62">
        <v>3.0700000000000002E-2</v>
      </c>
      <c r="N62">
        <v>0.79220000000000002</v>
      </c>
      <c r="O62">
        <v>200</v>
      </c>
      <c r="P62">
        <v>0.67620000000000002</v>
      </c>
      <c r="Q62" t="s">
        <v>35</v>
      </c>
      <c r="R62" t="s">
        <v>35</v>
      </c>
      <c r="S62" t="s">
        <v>35</v>
      </c>
      <c r="T62" t="s">
        <v>35</v>
      </c>
      <c r="U62" t="s">
        <v>35</v>
      </c>
      <c r="V62">
        <v>1</v>
      </c>
      <c r="W62">
        <v>0.02</v>
      </c>
      <c r="X62">
        <v>0.96</v>
      </c>
      <c r="Y62">
        <v>0</v>
      </c>
      <c r="Z62">
        <v>0.02</v>
      </c>
      <c r="AA62">
        <v>0</v>
      </c>
      <c r="AB62">
        <v>1.512E-2</v>
      </c>
      <c r="AC62">
        <v>20</v>
      </c>
      <c r="AD62">
        <v>1000</v>
      </c>
      <c r="AE62">
        <v>3</v>
      </c>
      <c r="AF62">
        <v>1</v>
      </c>
      <c r="AG62">
        <v>1</v>
      </c>
      <c r="AH62">
        <v>0</v>
      </c>
      <c r="AI62">
        <v>0</v>
      </c>
      <c r="AJ62">
        <v>0</v>
      </c>
      <c r="AK62">
        <v>0</v>
      </c>
      <c r="AL62" t="s">
        <v>35</v>
      </c>
      <c r="AM62">
        <v>0.41</v>
      </c>
    </row>
    <row r="63" spans="1:39" x14ac:dyDescent="0.25">
      <c r="A63" s="3" t="s">
        <v>25</v>
      </c>
      <c r="B63" t="s">
        <v>93</v>
      </c>
      <c r="C63">
        <v>200</v>
      </c>
      <c r="D63" t="s">
        <v>35</v>
      </c>
      <c r="E63" t="s">
        <v>35</v>
      </c>
      <c r="F63">
        <v>0.48209999999999997</v>
      </c>
      <c r="G63">
        <v>6.54E-2</v>
      </c>
      <c r="H63">
        <v>7.7000000000000002E-3</v>
      </c>
      <c r="I63">
        <v>8.9999999999999998E-4</v>
      </c>
      <c r="J63">
        <v>0.44390000000000002</v>
      </c>
      <c r="K63">
        <v>0.17710000000000001</v>
      </c>
      <c r="L63">
        <v>7.7799999999999994E-2</v>
      </c>
      <c r="M63">
        <v>3.0700000000000002E-2</v>
      </c>
      <c r="N63">
        <v>0.79220000000000002</v>
      </c>
      <c r="O63">
        <v>200</v>
      </c>
      <c r="P63">
        <v>0.67620000000000002</v>
      </c>
      <c r="Q63" t="s">
        <v>35</v>
      </c>
      <c r="R63" t="s">
        <v>35</v>
      </c>
      <c r="S63" t="s">
        <v>35</v>
      </c>
      <c r="T63" t="s">
        <v>35</v>
      </c>
      <c r="U63" t="s">
        <v>35</v>
      </c>
      <c r="V63">
        <v>1</v>
      </c>
      <c r="W63">
        <v>0.02</v>
      </c>
      <c r="X63">
        <v>0.96</v>
      </c>
      <c r="Y63">
        <v>0</v>
      </c>
      <c r="Z63">
        <v>0.02</v>
      </c>
      <c r="AA63">
        <v>0</v>
      </c>
      <c r="AB63">
        <v>1.512E-2</v>
      </c>
      <c r="AC63">
        <v>20</v>
      </c>
      <c r="AD63">
        <v>1000</v>
      </c>
      <c r="AE63">
        <v>5</v>
      </c>
      <c r="AF63">
        <v>1</v>
      </c>
      <c r="AG63">
        <v>1</v>
      </c>
      <c r="AH63">
        <v>0</v>
      </c>
      <c r="AI63">
        <v>0</v>
      </c>
      <c r="AJ63">
        <v>0</v>
      </c>
      <c r="AK63">
        <v>0</v>
      </c>
      <c r="AL63" t="s">
        <v>35</v>
      </c>
      <c r="AM63">
        <v>0.6</v>
      </c>
    </row>
    <row r="64" spans="1:39" x14ac:dyDescent="0.25">
      <c r="A64" s="3" t="s">
        <v>25</v>
      </c>
      <c r="B64" t="s">
        <v>94</v>
      </c>
      <c r="C64">
        <v>200</v>
      </c>
      <c r="D64" t="s">
        <v>35</v>
      </c>
      <c r="E64" t="s">
        <v>35</v>
      </c>
      <c r="F64">
        <v>0.48209999999999997</v>
      </c>
      <c r="G64">
        <v>6.54E-2</v>
      </c>
      <c r="H64">
        <v>7.7000000000000002E-3</v>
      </c>
      <c r="I64">
        <v>8.9999999999999998E-4</v>
      </c>
      <c r="J64">
        <v>0.44390000000000002</v>
      </c>
      <c r="K64">
        <v>0.17710000000000001</v>
      </c>
      <c r="L64">
        <v>7.7799999999999994E-2</v>
      </c>
      <c r="M64">
        <v>3.0700000000000002E-2</v>
      </c>
      <c r="N64">
        <v>0.79220000000000002</v>
      </c>
      <c r="O64">
        <v>200</v>
      </c>
      <c r="P64">
        <v>0.67620000000000002</v>
      </c>
      <c r="Q64" t="s">
        <v>35</v>
      </c>
      <c r="R64" t="s">
        <v>35</v>
      </c>
      <c r="S64" t="s">
        <v>35</v>
      </c>
      <c r="T64" t="s">
        <v>35</v>
      </c>
      <c r="U64" t="s">
        <v>35</v>
      </c>
      <c r="V64">
        <v>1</v>
      </c>
      <c r="W64">
        <v>0.02</v>
      </c>
      <c r="X64">
        <v>0.96</v>
      </c>
      <c r="Y64">
        <v>0</v>
      </c>
      <c r="Z64">
        <v>0.02</v>
      </c>
      <c r="AA64">
        <v>0</v>
      </c>
      <c r="AB64">
        <v>1.512E-2</v>
      </c>
      <c r="AC64">
        <v>20</v>
      </c>
      <c r="AD64">
        <v>1000</v>
      </c>
      <c r="AE64">
        <v>10</v>
      </c>
      <c r="AF64">
        <v>1</v>
      </c>
      <c r="AG64">
        <v>1</v>
      </c>
      <c r="AH64">
        <v>0</v>
      </c>
      <c r="AI64">
        <v>0</v>
      </c>
      <c r="AJ64">
        <v>0</v>
      </c>
      <c r="AK64">
        <v>0</v>
      </c>
      <c r="AL64" t="s">
        <v>35</v>
      </c>
      <c r="AM64">
        <v>0.88</v>
      </c>
    </row>
    <row r="65" spans="1:39" x14ac:dyDescent="0.25">
      <c r="A65" s="3" t="s">
        <v>25</v>
      </c>
      <c r="B65" t="s">
        <v>95</v>
      </c>
      <c r="C65">
        <v>200</v>
      </c>
      <c r="D65" t="s">
        <v>35</v>
      </c>
      <c r="E65" t="s">
        <v>35</v>
      </c>
      <c r="F65">
        <v>0.48209999999999997</v>
      </c>
      <c r="G65">
        <v>6.54E-2</v>
      </c>
      <c r="H65">
        <v>7.7000000000000002E-3</v>
      </c>
      <c r="I65">
        <v>8.9999999999999998E-4</v>
      </c>
      <c r="J65">
        <v>0.44390000000000002</v>
      </c>
      <c r="K65">
        <v>0.17710000000000001</v>
      </c>
      <c r="L65">
        <v>7.7799999999999994E-2</v>
      </c>
      <c r="M65">
        <v>3.0700000000000002E-2</v>
      </c>
      <c r="N65">
        <v>0.79220000000000002</v>
      </c>
      <c r="O65">
        <v>200</v>
      </c>
      <c r="P65">
        <v>0.67620000000000002</v>
      </c>
      <c r="Q65" t="s">
        <v>35</v>
      </c>
      <c r="R65" t="s">
        <v>35</v>
      </c>
      <c r="S65" t="s">
        <v>35</v>
      </c>
      <c r="T65" t="s">
        <v>35</v>
      </c>
      <c r="U65" t="s">
        <v>35</v>
      </c>
      <c r="V65">
        <v>1</v>
      </c>
      <c r="W65">
        <v>0.02</v>
      </c>
      <c r="X65">
        <v>0.96</v>
      </c>
      <c r="Y65">
        <v>0</v>
      </c>
      <c r="Z65">
        <v>0.02</v>
      </c>
      <c r="AA65">
        <v>0</v>
      </c>
      <c r="AB65">
        <v>1.512E-2</v>
      </c>
      <c r="AC65">
        <v>20</v>
      </c>
      <c r="AD65">
        <v>1000</v>
      </c>
      <c r="AE65">
        <v>15</v>
      </c>
      <c r="AF65">
        <v>1</v>
      </c>
      <c r="AG65">
        <v>1</v>
      </c>
      <c r="AH65">
        <v>0</v>
      </c>
      <c r="AI65">
        <v>0</v>
      </c>
      <c r="AJ65">
        <v>0</v>
      </c>
      <c r="AK65">
        <v>0</v>
      </c>
      <c r="AL65" t="s">
        <v>35</v>
      </c>
      <c r="AM65">
        <v>0.96</v>
      </c>
    </row>
    <row r="66" spans="1:39" x14ac:dyDescent="0.25">
      <c r="A66" s="3" t="s">
        <v>25</v>
      </c>
      <c r="B66" t="s">
        <v>96</v>
      </c>
      <c r="C66">
        <v>200</v>
      </c>
      <c r="D66" t="s">
        <v>35</v>
      </c>
      <c r="E66" t="s">
        <v>35</v>
      </c>
      <c r="F66">
        <v>0.48209999999999997</v>
      </c>
      <c r="G66">
        <v>6.54E-2</v>
      </c>
      <c r="H66">
        <v>7.7000000000000002E-3</v>
      </c>
      <c r="I66">
        <v>8.9999999999999998E-4</v>
      </c>
      <c r="J66">
        <v>0.44390000000000002</v>
      </c>
      <c r="K66">
        <v>0.17710000000000001</v>
      </c>
      <c r="L66">
        <v>7.7799999999999994E-2</v>
      </c>
      <c r="M66">
        <v>3.0700000000000002E-2</v>
      </c>
      <c r="N66">
        <v>0.79220000000000002</v>
      </c>
      <c r="O66">
        <v>200</v>
      </c>
      <c r="P66">
        <v>0.67620000000000002</v>
      </c>
      <c r="Q66" t="s">
        <v>35</v>
      </c>
      <c r="R66" t="s">
        <v>35</v>
      </c>
      <c r="S66" t="s">
        <v>35</v>
      </c>
      <c r="T66" t="s">
        <v>35</v>
      </c>
      <c r="U66" t="s">
        <v>35</v>
      </c>
      <c r="V66">
        <v>1</v>
      </c>
      <c r="W66">
        <v>0.02</v>
      </c>
      <c r="X66">
        <v>0.96</v>
      </c>
      <c r="Y66">
        <v>0</v>
      </c>
      <c r="Z66">
        <v>0.02</v>
      </c>
      <c r="AA66">
        <v>0</v>
      </c>
      <c r="AB66">
        <v>1.512E-2</v>
      </c>
      <c r="AC66">
        <v>20</v>
      </c>
      <c r="AD66">
        <v>1000</v>
      </c>
      <c r="AE66">
        <v>20</v>
      </c>
      <c r="AF66">
        <v>1</v>
      </c>
      <c r="AG66">
        <v>1</v>
      </c>
      <c r="AH66">
        <v>0</v>
      </c>
      <c r="AI66">
        <v>0</v>
      </c>
      <c r="AJ66">
        <v>0</v>
      </c>
      <c r="AK66">
        <v>0</v>
      </c>
      <c r="AL66" t="s">
        <v>35</v>
      </c>
      <c r="AM66">
        <v>1</v>
      </c>
    </row>
    <row r="67" spans="1:39" x14ac:dyDescent="0.25">
      <c r="A67" s="3" t="s">
        <v>25</v>
      </c>
      <c r="B67" t="s">
        <v>97</v>
      </c>
      <c r="C67">
        <v>200</v>
      </c>
      <c r="D67" t="s">
        <v>35</v>
      </c>
      <c r="E67" t="s">
        <v>35</v>
      </c>
      <c r="F67">
        <v>0.48209999999999997</v>
      </c>
      <c r="G67">
        <v>6.54E-2</v>
      </c>
      <c r="H67">
        <v>7.7000000000000002E-3</v>
      </c>
      <c r="I67">
        <v>8.9999999999999998E-4</v>
      </c>
      <c r="J67">
        <v>0.44390000000000002</v>
      </c>
      <c r="K67">
        <v>0.17710000000000001</v>
      </c>
      <c r="L67">
        <v>7.7799999999999994E-2</v>
      </c>
      <c r="M67">
        <v>3.0700000000000002E-2</v>
      </c>
      <c r="N67">
        <v>0.79220000000000002</v>
      </c>
      <c r="O67">
        <v>200</v>
      </c>
      <c r="P67">
        <v>0.67620000000000002</v>
      </c>
      <c r="Q67" t="s">
        <v>35</v>
      </c>
      <c r="R67" t="s">
        <v>35</v>
      </c>
      <c r="S67" t="s">
        <v>35</v>
      </c>
      <c r="T67" t="s">
        <v>35</v>
      </c>
      <c r="U67" t="s">
        <v>35</v>
      </c>
      <c r="V67">
        <v>1</v>
      </c>
      <c r="W67">
        <v>0.02</v>
      </c>
      <c r="X67">
        <v>0.96</v>
      </c>
      <c r="Y67">
        <v>0</v>
      </c>
      <c r="Z67">
        <v>0.02</v>
      </c>
      <c r="AA67">
        <v>0</v>
      </c>
      <c r="AB67">
        <v>1.512E-2</v>
      </c>
      <c r="AC67">
        <v>20</v>
      </c>
      <c r="AD67">
        <v>1000</v>
      </c>
      <c r="AE67">
        <v>25</v>
      </c>
      <c r="AF67">
        <v>1</v>
      </c>
      <c r="AG67">
        <v>1</v>
      </c>
      <c r="AH67">
        <v>0</v>
      </c>
      <c r="AI67">
        <v>0</v>
      </c>
      <c r="AJ67">
        <v>0</v>
      </c>
      <c r="AK67">
        <v>0</v>
      </c>
      <c r="AL67" t="s">
        <v>35</v>
      </c>
      <c r="AM67">
        <v>1</v>
      </c>
    </row>
    <row r="68" spans="1:39" x14ac:dyDescent="0.25">
      <c r="A68" s="3" t="s">
        <v>25</v>
      </c>
      <c r="B68" t="s">
        <v>98</v>
      </c>
      <c r="C68">
        <v>200</v>
      </c>
      <c r="D68" t="s">
        <v>35</v>
      </c>
      <c r="E68" t="s">
        <v>35</v>
      </c>
      <c r="F68">
        <v>0.48209999999999997</v>
      </c>
      <c r="G68">
        <v>6.54E-2</v>
      </c>
      <c r="H68">
        <v>7.7000000000000002E-3</v>
      </c>
      <c r="I68">
        <v>8.9999999999999998E-4</v>
      </c>
      <c r="J68">
        <v>0.44390000000000002</v>
      </c>
      <c r="K68">
        <v>0.17710000000000001</v>
      </c>
      <c r="L68">
        <v>7.7799999999999994E-2</v>
      </c>
      <c r="M68">
        <v>3.0700000000000002E-2</v>
      </c>
      <c r="N68">
        <v>0.79220000000000002</v>
      </c>
      <c r="O68">
        <v>200</v>
      </c>
      <c r="P68">
        <v>0.67620000000000002</v>
      </c>
      <c r="Q68" t="s">
        <v>35</v>
      </c>
      <c r="R68" t="s">
        <v>35</v>
      </c>
      <c r="S68" t="s">
        <v>35</v>
      </c>
      <c r="T68" t="s">
        <v>35</v>
      </c>
      <c r="U68" t="s">
        <v>35</v>
      </c>
      <c r="V68">
        <v>1</v>
      </c>
      <c r="W68">
        <v>0.02</v>
      </c>
      <c r="X68">
        <v>0.96</v>
      </c>
      <c r="Y68">
        <v>0</v>
      </c>
      <c r="Z68">
        <v>0.02</v>
      </c>
      <c r="AA68">
        <v>0</v>
      </c>
      <c r="AB68">
        <v>1.512E-2</v>
      </c>
      <c r="AC68">
        <v>20</v>
      </c>
      <c r="AD68">
        <v>1050</v>
      </c>
      <c r="AE68">
        <v>1</v>
      </c>
      <c r="AF68">
        <v>1</v>
      </c>
      <c r="AG68">
        <v>1</v>
      </c>
      <c r="AH68">
        <v>0</v>
      </c>
      <c r="AI68">
        <v>0</v>
      </c>
      <c r="AJ68">
        <v>0</v>
      </c>
      <c r="AK68">
        <v>0</v>
      </c>
      <c r="AL68" t="s">
        <v>35</v>
      </c>
      <c r="AM68">
        <v>0.1</v>
      </c>
    </row>
    <row r="69" spans="1:39" x14ac:dyDescent="0.25">
      <c r="A69" s="3" t="s">
        <v>25</v>
      </c>
      <c r="B69" t="s">
        <v>99</v>
      </c>
      <c r="C69">
        <v>200</v>
      </c>
      <c r="D69" t="s">
        <v>35</v>
      </c>
      <c r="E69" t="s">
        <v>35</v>
      </c>
      <c r="F69">
        <v>0.48209999999999997</v>
      </c>
      <c r="G69">
        <v>6.54E-2</v>
      </c>
      <c r="H69">
        <v>7.7000000000000002E-3</v>
      </c>
      <c r="I69">
        <v>8.9999999999999998E-4</v>
      </c>
      <c r="J69">
        <v>0.44390000000000002</v>
      </c>
      <c r="K69">
        <v>0.17710000000000001</v>
      </c>
      <c r="L69">
        <v>7.7799999999999994E-2</v>
      </c>
      <c r="M69">
        <v>3.0700000000000002E-2</v>
      </c>
      <c r="N69">
        <v>0.79220000000000002</v>
      </c>
      <c r="O69">
        <v>200</v>
      </c>
      <c r="P69">
        <v>0.67620000000000002</v>
      </c>
      <c r="Q69" t="s">
        <v>35</v>
      </c>
      <c r="R69" t="s">
        <v>35</v>
      </c>
      <c r="S69" t="s">
        <v>35</v>
      </c>
      <c r="T69" t="s">
        <v>35</v>
      </c>
      <c r="U69" t="s">
        <v>35</v>
      </c>
      <c r="V69">
        <v>1</v>
      </c>
      <c r="W69">
        <v>0.02</v>
      </c>
      <c r="X69">
        <v>0.96</v>
      </c>
      <c r="Y69">
        <v>0</v>
      </c>
      <c r="Z69">
        <v>0.02</v>
      </c>
      <c r="AA69">
        <v>0</v>
      </c>
      <c r="AB69">
        <v>1.512E-2</v>
      </c>
      <c r="AC69">
        <v>20</v>
      </c>
      <c r="AD69">
        <v>1050</v>
      </c>
      <c r="AE69">
        <v>2</v>
      </c>
      <c r="AF69">
        <v>1</v>
      </c>
      <c r="AG69">
        <v>1</v>
      </c>
      <c r="AH69">
        <v>0</v>
      </c>
      <c r="AI69">
        <v>0</v>
      </c>
      <c r="AJ69">
        <v>0</v>
      </c>
      <c r="AK69">
        <v>0</v>
      </c>
      <c r="AL69" t="s">
        <v>35</v>
      </c>
      <c r="AM69">
        <v>0.19</v>
      </c>
    </row>
    <row r="70" spans="1:39" x14ac:dyDescent="0.25">
      <c r="A70" s="3" t="s">
        <v>25</v>
      </c>
      <c r="B70" t="s">
        <v>100</v>
      </c>
      <c r="C70">
        <v>200</v>
      </c>
      <c r="D70" t="s">
        <v>35</v>
      </c>
      <c r="E70" t="s">
        <v>35</v>
      </c>
      <c r="F70">
        <v>0.48209999999999997</v>
      </c>
      <c r="G70">
        <v>6.54E-2</v>
      </c>
      <c r="H70">
        <v>7.7000000000000002E-3</v>
      </c>
      <c r="I70">
        <v>8.9999999999999998E-4</v>
      </c>
      <c r="J70">
        <v>0.44390000000000002</v>
      </c>
      <c r="K70">
        <v>0.17710000000000001</v>
      </c>
      <c r="L70">
        <v>7.7799999999999994E-2</v>
      </c>
      <c r="M70">
        <v>3.0700000000000002E-2</v>
      </c>
      <c r="N70">
        <v>0.79220000000000002</v>
      </c>
      <c r="O70">
        <v>200</v>
      </c>
      <c r="P70">
        <v>0.67620000000000002</v>
      </c>
      <c r="Q70" t="s">
        <v>35</v>
      </c>
      <c r="R70" t="s">
        <v>35</v>
      </c>
      <c r="S70" t="s">
        <v>35</v>
      </c>
      <c r="T70" t="s">
        <v>35</v>
      </c>
      <c r="U70" t="s">
        <v>35</v>
      </c>
      <c r="V70">
        <v>1</v>
      </c>
      <c r="W70">
        <v>0.02</v>
      </c>
      <c r="X70">
        <v>0.96</v>
      </c>
      <c r="Y70">
        <v>0</v>
      </c>
      <c r="Z70">
        <v>0.02</v>
      </c>
      <c r="AA70">
        <v>0</v>
      </c>
      <c r="AB70">
        <v>1.512E-2</v>
      </c>
      <c r="AC70">
        <v>20</v>
      </c>
      <c r="AD70">
        <v>1050</v>
      </c>
      <c r="AE70">
        <v>2.5</v>
      </c>
      <c r="AF70">
        <v>1</v>
      </c>
      <c r="AG70">
        <v>1</v>
      </c>
      <c r="AH70">
        <v>0</v>
      </c>
      <c r="AI70">
        <v>0</v>
      </c>
      <c r="AJ70">
        <v>0</v>
      </c>
      <c r="AK70">
        <v>0</v>
      </c>
      <c r="AL70" t="s">
        <v>35</v>
      </c>
      <c r="AM70">
        <v>0.35</v>
      </c>
    </row>
    <row r="71" spans="1:39" x14ac:dyDescent="0.25">
      <c r="A71" s="3" t="s">
        <v>25</v>
      </c>
      <c r="B71" t="s">
        <v>101</v>
      </c>
      <c r="C71">
        <v>200</v>
      </c>
      <c r="D71" t="s">
        <v>35</v>
      </c>
      <c r="E71" t="s">
        <v>35</v>
      </c>
      <c r="F71">
        <v>0.48209999999999997</v>
      </c>
      <c r="G71">
        <v>6.54E-2</v>
      </c>
      <c r="H71">
        <v>7.7000000000000002E-3</v>
      </c>
      <c r="I71">
        <v>8.9999999999999998E-4</v>
      </c>
      <c r="J71">
        <v>0.44390000000000002</v>
      </c>
      <c r="K71">
        <v>0.17710000000000001</v>
      </c>
      <c r="L71">
        <v>7.7799999999999994E-2</v>
      </c>
      <c r="M71">
        <v>3.0700000000000002E-2</v>
      </c>
      <c r="N71">
        <v>0.79220000000000002</v>
      </c>
      <c r="O71">
        <v>200</v>
      </c>
      <c r="P71">
        <v>0.67620000000000002</v>
      </c>
      <c r="Q71" t="s">
        <v>35</v>
      </c>
      <c r="R71" t="s">
        <v>35</v>
      </c>
      <c r="S71" t="s">
        <v>35</v>
      </c>
      <c r="T71" t="s">
        <v>35</v>
      </c>
      <c r="U71" t="s">
        <v>35</v>
      </c>
      <c r="V71">
        <v>1</v>
      </c>
      <c r="W71">
        <v>0.02</v>
      </c>
      <c r="X71">
        <v>0.96</v>
      </c>
      <c r="Y71">
        <v>0</v>
      </c>
      <c r="Z71">
        <v>0.02</v>
      </c>
      <c r="AA71">
        <v>0</v>
      </c>
      <c r="AB71">
        <v>1.512E-2</v>
      </c>
      <c r="AC71">
        <v>20</v>
      </c>
      <c r="AD71">
        <v>1050</v>
      </c>
      <c r="AE71">
        <v>3</v>
      </c>
      <c r="AF71">
        <v>1</v>
      </c>
      <c r="AG71">
        <v>1</v>
      </c>
      <c r="AH71">
        <v>0</v>
      </c>
      <c r="AI71">
        <v>0</v>
      </c>
      <c r="AJ71">
        <v>0</v>
      </c>
      <c r="AK71">
        <v>0</v>
      </c>
      <c r="AL71" t="s">
        <v>35</v>
      </c>
      <c r="AM71">
        <v>0.47</v>
      </c>
    </row>
    <row r="72" spans="1:39" x14ac:dyDescent="0.25">
      <c r="A72" s="3" t="s">
        <v>25</v>
      </c>
      <c r="B72" t="s">
        <v>102</v>
      </c>
      <c r="C72">
        <v>200</v>
      </c>
      <c r="D72" t="s">
        <v>35</v>
      </c>
      <c r="E72" t="s">
        <v>35</v>
      </c>
      <c r="F72">
        <v>0.48209999999999997</v>
      </c>
      <c r="G72">
        <v>6.54E-2</v>
      </c>
      <c r="H72">
        <v>7.7000000000000002E-3</v>
      </c>
      <c r="I72">
        <v>8.9999999999999998E-4</v>
      </c>
      <c r="J72">
        <v>0.44390000000000002</v>
      </c>
      <c r="K72">
        <v>0.17710000000000001</v>
      </c>
      <c r="L72">
        <v>7.7799999999999994E-2</v>
      </c>
      <c r="M72">
        <v>3.0700000000000002E-2</v>
      </c>
      <c r="N72">
        <v>0.79220000000000002</v>
      </c>
      <c r="O72">
        <v>200</v>
      </c>
      <c r="P72">
        <v>0.67620000000000002</v>
      </c>
      <c r="Q72" t="s">
        <v>35</v>
      </c>
      <c r="R72" t="s">
        <v>35</v>
      </c>
      <c r="S72" t="s">
        <v>35</v>
      </c>
      <c r="T72" t="s">
        <v>35</v>
      </c>
      <c r="U72" t="s">
        <v>35</v>
      </c>
      <c r="V72">
        <v>1</v>
      </c>
      <c r="W72">
        <v>0.02</v>
      </c>
      <c r="X72">
        <v>0.96</v>
      </c>
      <c r="Y72">
        <v>0</v>
      </c>
      <c r="Z72">
        <v>0.02</v>
      </c>
      <c r="AA72">
        <v>0</v>
      </c>
      <c r="AB72">
        <v>1.512E-2</v>
      </c>
      <c r="AC72">
        <v>20</v>
      </c>
      <c r="AD72">
        <v>1050</v>
      </c>
      <c r="AE72">
        <v>5</v>
      </c>
      <c r="AF72">
        <v>1</v>
      </c>
      <c r="AG72">
        <v>1</v>
      </c>
      <c r="AH72">
        <v>0</v>
      </c>
      <c r="AI72">
        <v>0</v>
      </c>
      <c r="AJ72">
        <v>0</v>
      </c>
      <c r="AK72">
        <v>0</v>
      </c>
      <c r="AL72" t="s">
        <v>35</v>
      </c>
      <c r="AM72">
        <v>0.68</v>
      </c>
    </row>
    <row r="73" spans="1:39" x14ac:dyDescent="0.25">
      <c r="A73" s="3" t="s">
        <v>25</v>
      </c>
      <c r="B73" t="s">
        <v>103</v>
      </c>
      <c r="C73">
        <v>200</v>
      </c>
      <c r="D73" t="s">
        <v>35</v>
      </c>
      <c r="E73" t="s">
        <v>35</v>
      </c>
      <c r="F73">
        <v>0.48209999999999997</v>
      </c>
      <c r="G73">
        <v>6.54E-2</v>
      </c>
      <c r="H73">
        <v>7.7000000000000002E-3</v>
      </c>
      <c r="I73">
        <v>8.9999999999999998E-4</v>
      </c>
      <c r="J73">
        <v>0.44390000000000002</v>
      </c>
      <c r="K73">
        <v>0.17710000000000001</v>
      </c>
      <c r="L73">
        <v>7.7799999999999994E-2</v>
      </c>
      <c r="M73">
        <v>3.0700000000000002E-2</v>
      </c>
      <c r="N73">
        <v>0.79220000000000002</v>
      </c>
      <c r="O73">
        <v>200</v>
      </c>
      <c r="P73">
        <v>0.67620000000000002</v>
      </c>
      <c r="Q73" t="s">
        <v>35</v>
      </c>
      <c r="R73" t="s">
        <v>35</v>
      </c>
      <c r="S73" t="s">
        <v>35</v>
      </c>
      <c r="T73" t="s">
        <v>35</v>
      </c>
      <c r="U73" t="s">
        <v>35</v>
      </c>
      <c r="V73">
        <v>1</v>
      </c>
      <c r="W73">
        <v>0.02</v>
      </c>
      <c r="X73">
        <v>0.96</v>
      </c>
      <c r="Y73">
        <v>0</v>
      </c>
      <c r="Z73">
        <v>0.02</v>
      </c>
      <c r="AA73">
        <v>0</v>
      </c>
      <c r="AB73">
        <v>1.512E-2</v>
      </c>
      <c r="AC73">
        <v>20</v>
      </c>
      <c r="AD73">
        <v>1050</v>
      </c>
      <c r="AE73">
        <v>10</v>
      </c>
      <c r="AF73">
        <v>1</v>
      </c>
      <c r="AG73">
        <v>1</v>
      </c>
      <c r="AH73">
        <v>0</v>
      </c>
      <c r="AI73">
        <v>0</v>
      </c>
      <c r="AJ73">
        <v>0</v>
      </c>
      <c r="AK73">
        <v>0</v>
      </c>
      <c r="AL73" t="s">
        <v>35</v>
      </c>
      <c r="AM73">
        <v>0.93</v>
      </c>
    </row>
    <row r="74" spans="1:39" x14ac:dyDescent="0.25">
      <c r="A74" s="3" t="s">
        <v>25</v>
      </c>
      <c r="B74" t="s">
        <v>104</v>
      </c>
      <c r="C74">
        <v>200</v>
      </c>
      <c r="D74" t="s">
        <v>35</v>
      </c>
      <c r="E74" t="s">
        <v>35</v>
      </c>
      <c r="F74">
        <v>0.48209999999999997</v>
      </c>
      <c r="G74">
        <v>6.54E-2</v>
      </c>
      <c r="H74">
        <v>7.7000000000000002E-3</v>
      </c>
      <c r="I74">
        <v>8.9999999999999998E-4</v>
      </c>
      <c r="J74">
        <v>0.44390000000000002</v>
      </c>
      <c r="K74">
        <v>0.17710000000000001</v>
      </c>
      <c r="L74">
        <v>7.7799999999999994E-2</v>
      </c>
      <c r="M74">
        <v>3.0700000000000002E-2</v>
      </c>
      <c r="N74">
        <v>0.79220000000000002</v>
      </c>
      <c r="O74">
        <v>200</v>
      </c>
      <c r="P74">
        <v>0.67620000000000002</v>
      </c>
      <c r="Q74" t="s">
        <v>35</v>
      </c>
      <c r="R74" t="s">
        <v>35</v>
      </c>
      <c r="S74" t="s">
        <v>35</v>
      </c>
      <c r="T74" t="s">
        <v>35</v>
      </c>
      <c r="U74" t="s">
        <v>35</v>
      </c>
      <c r="V74">
        <v>1</v>
      </c>
      <c r="W74">
        <v>0.02</v>
      </c>
      <c r="X74">
        <v>0.96</v>
      </c>
      <c r="Y74">
        <v>0</v>
      </c>
      <c r="Z74">
        <v>0.02</v>
      </c>
      <c r="AA74">
        <v>0</v>
      </c>
      <c r="AB74">
        <v>1.512E-2</v>
      </c>
      <c r="AC74">
        <v>20</v>
      </c>
      <c r="AD74">
        <v>1050</v>
      </c>
      <c r="AE74">
        <v>15</v>
      </c>
      <c r="AF74">
        <v>1</v>
      </c>
      <c r="AG74">
        <v>1</v>
      </c>
      <c r="AH74">
        <v>0</v>
      </c>
      <c r="AI74">
        <v>0</v>
      </c>
      <c r="AJ74">
        <v>0</v>
      </c>
      <c r="AK74">
        <v>0</v>
      </c>
      <c r="AL74" t="s">
        <v>35</v>
      </c>
      <c r="AM74">
        <v>0.99</v>
      </c>
    </row>
    <row r="75" spans="1:39" x14ac:dyDescent="0.25">
      <c r="A75" s="3" t="s">
        <v>25</v>
      </c>
      <c r="B75" t="s">
        <v>105</v>
      </c>
      <c r="C75">
        <v>200</v>
      </c>
      <c r="D75" t="s">
        <v>35</v>
      </c>
      <c r="E75" t="s">
        <v>35</v>
      </c>
      <c r="F75">
        <v>0.48209999999999997</v>
      </c>
      <c r="G75">
        <v>6.54E-2</v>
      </c>
      <c r="H75">
        <v>7.7000000000000002E-3</v>
      </c>
      <c r="I75">
        <v>8.9999999999999998E-4</v>
      </c>
      <c r="J75">
        <v>0.44390000000000002</v>
      </c>
      <c r="K75">
        <v>0.17710000000000001</v>
      </c>
      <c r="L75">
        <v>7.7799999999999994E-2</v>
      </c>
      <c r="M75">
        <v>3.0700000000000002E-2</v>
      </c>
      <c r="N75">
        <v>0.79220000000000002</v>
      </c>
      <c r="O75">
        <v>200</v>
      </c>
      <c r="P75">
        <v>0.67620000000000002</v>
      </c>
      <c r="Q75" t="s">
        <v>35</v>
      </c>
      <c r="R75" t="s">
        <v>35</v>
      </c>
      <c r="S75" t="s">
        <v>35</v>
      </c>
      <c r="T75" t="s">
        <v>35</v>
      </c>
      <c r="U75" t="s">
        <v>35</v>
      </c>
      <c r="V75">
        <v>1</v>
      </c>
      <c r="W75">
        <v>0.02</v>
      </c>
      <c r="X75">
        <v>0.96</v>
      </c>
      <c r="Y75">
        <v>0</v>
      </c>
      <c r="Z75">
        <v>0.02</v>
      </c>
      <c r="AA75">
        <v>0</v>
      </c>
      <c r="AB75">
        <v>1.512E-2</v>
      </c>
      <c r="AC75">
        <v>20</v>
      </c>
      <c r="AD75">
        <v>1050</v>
      </c>
      <c r="AE75">
        <v>20</v>
      </c>
      <c r="AF75">
        <v>1</v>
      </c>
      <c r="AG75">
        <v>1</v>
      </c>
      <c r="AH75">
        <v>0</v>
      </c>
      <c r="AI75">
        <v>0</v>
      </c>
      <c r="AJ75">
        <v>0</v>
      </c>
      <c r="AK75">
        <v>0</v>
      </c>
      <c r="AL75" t="s">
        <v>35</v>
      </c>
      <c r="AM75">
        <v>1</v>
      </c>
    </row>
    <row r="76" spans="1:39" x14ac:dyDescent="0.25">
      <c r="A76" s="3" t="s">
        <v>25</v>
      </c>
      <c r="B76" t="s">
        <v>106</v>
      </c>
      <c r="C76">
        <v>200</v>
      </c>
      <c r="D76" t="s">
        <v>35</v>
      </c>
      <c r="E76" t="s">
        <v>35</v>
      </c>
      <c r="F76">
        <v>0.48209999999999997</v>
      </c>
      <c r="G76">
        <v>6.54E-2</v>
      </c>
      <c r="H76">
        <v>7.7000000000000002E-3</v>
      </c>
      <c r="I76">
        <v>8.9999999999999998E-4</v>
      </c>
      <c r="J76">
        <v>0.44390000000000002</v>
      </c>
      <c r="K76">
        <v>0.17710000000000001</v>
      </c>
      <c r="L76">
        <v>7.7799999999999994E-2</v>
      </c>
      <c r="M76">
        <v>3.0700000000000002E-2</v>
      </c>
      <c r="N76">
        <v>0.79220000000000002</v>
      </c>
      <c r="O76">
        <v>200</v>
      </c>
      <c r="P76">
        <v>0.67620000000000002</v>
      </c>
      <c r="Q76" t="s">
        <v>35</v>
      </c>
      <c r="R76" t="s">
        <v>35</v>
      </c>
      <c r="S76" t="s">
        <v>35</v>
      </c>
      <c r="T76" t="s">
        <v>35</v>
      </c>
      <c r="U76" t="s">
        <v>35</v>
      </c>
      <c r="V76">
        <v>1</v>
      </c>
      <c r="W76">
        <v>0.02</v>
      </c>
      <c r="X76">
        <v>0.96</v>
      </c>
      <c r="Y76">
        <v>0</v>
      </c>
      <c r="Z76">
        <v>0.02</v>
      </c>
      <c r="AA76">
        <v>0</v>
      </c>
      <c r="AB76">
        <v>1.512E-2</v>
      </c>
      <c r="AC76">
        <v>20</v>
      </c>
      <c r="AD76">
        <v>1050</v>
      </c>
      <c r="AE76">
        <v>25</v>
      </c>
      <c r="AF76">
        <v>1</v>
      </c>
      <c r="AG76">
        <v>1</v>
      </c>
      <c r="AH76">
        <v>0</v>
      </c>
      <c r="AI76">
        <v>0</v>
      </c>
      <c r="AJ76">
        <v>0</v>
      </c>
      <c r="AK76">
        <v>0</v>
      </c>
      <c r="AL76" t="s">
        <v>35</v>
      </c>
      <c r="AM76">
        <v>1</v>
      </c>
    </row>
    <row r="77" spans="1:39" x14ac:dyDescent="0.25">
      <c r="A77" s="3" t="s">
        <v>26</v>
      </c>
      <c r="B77" t="s">
        <v>62</v>
      </c>
      <c r="C77">
        <v>200</v>
      </c>
      <c r="D77" t="s">
        <v>35</v>
      </c>
      <c r="E77" t="s">
        <v>35</v>
      </c>
      <c r="F77">
        <v>0.48209999999999997</v>
      </c>
      <c r="G77">
        <v>6.54E-2</v>
      </c>
      <c r="H77">
        <v>7.7000000000000002E-3</v>
      </c>
      <c r="I77">
        <v>8.9999999999999998E-4</v>
      </c>
      <c r="J77">
        <v>0.44390000000000002</v>
      </c>
      <c r="K77">
        <v>0.17710000000000001</v>
      </c>
      <c r="L77">
        <v>7.7799999999999994E-2</v>
      </c>
      <c r="M77">
        <v>3.0700000000000002E-2</v>
      </c>
      <c r="N77">
        <v>0.79220000000000002</v>
      </c>
      <c r="O77">
        <v>200</v>
      </c>
      <c r="P77">
        <v>0.67620000000000002</v>
      </c>
      <c r="Q77" t="s">
        <v>35</v>
      </c>
      <c r="R77" t="s">
        <v>35</v>
      </c>
      <c r="S77" t="s">
        <v>35</v>
      </c>
      <c r="T77" t="s">
        <v>35</v>
      </c>
      <c r="U77" t="s">
        <v>35</v>
      </c>
      <c r="V77">
        <v>1</v>
      </c>
      <c r="W77">
        <v>0.02</v>
      </c>
      <c r="X77">
        <v>0.96</v>
      </c>
      <c r="Y77">
        <v>0</v>
      </c>
      <c r="Z77">
        <v>0.02</v>
      </c>
      <c r="AA77">
        <v>0</v>
      </c>
      <c r="AB77">
        <v>1.512E-2</v>
      </c>
      <c r="AC77">
        <v>20</v>
      </c>
      <c r="AD77">
        <v>850</v>
      </c>
      <c r="AE77">
        <v>1</v>
      </c>
      <c r="AF77">
        <v>1</v>
      </c>
      <c r="AG77">
        <v>0.45600000000000002</v>
      </c>
      <c r="AH77">
        <v>0.36199999999999999</v>
      </c>
      <c r="AI77">
        <v>0.123</v>
      </c>
      <c r="AJ77">
        <v>5.8999999999999997E-2</v>
      </c>
      <c r="AK77">
        <f>1-SUM(AG77:AJ77)</f>
        <v>0</v>
      </c>
      <c r="AL77" t="s">
        <v>35</v>
      </c>
      <c r="AM77">
        <v>0.03</v>
      </c>
    </row>
    <row r="78" spans="1:39" x14ac:dyDescent="0.25">
      <c r="A78" s="3" t="s">
        <v>26</v>
      </c>
      <c r="B78" t="s">
        <v>63</v>
      </c>
      <c r="C78">
        <v>200</v>
      </c>
      <c r="D78" t="s">
        <v>35</v>
      </c>
      <c r="E78" t="s">
        <v>35</v>
      </c>
      <c r="F78">
        <v>0.48209999999999997</v>
      </c>
      <c r="G78">
        <v>6.54E-2</v>
      </c>
      <c r="H78">
        <v>7.7000000000000002E-3</v>
      </c>
      <c r="I78">
        <v>8.9999999999999998E-4</v>
      </c>
      <c r="J78">
        <v>0.44390000000000002</v>
      </c>
      <c r="K78">
        <v>0.17710000000000001</v>
      </c>
      <c r="L78">
        <v>7.7799999999999994E-2</v>
      </c>
      <c r="M78">
        <v>3.0700000000000002E-2</v>
      </c>
      <c r="N78">
        <v>0.79220000000000002</v>
      </c>
      <c r="O78">
        <v>200</v>
      </c>
      <c r="P78">
        <v>0.67620000000000002</v>
      </c>
      <c r="Q78" t="s">
        <v>35</v>
      </c>
      <c r="R78" t="s">
        <v>35</v>
      </c>
      <c r="S78" t="s">
        <v>35</v>
      </c>
      <c r="T78" t="s">
        <v>35</v>
      </c>
      <c r="U78" t="s">
        <v>35</v>
      </c>
      <c r="V78">
        <v>1</v>
      </c>
      <c r="W78">
        <v>0.02</v>
      </c>
      <c r="X78">
        <v>0.96</v>
      </c>
      <c r="Y78">
        <v>0</v>
      </c>
      <c r="Z78">
        <v>0.02</v>
      </c>
      <c r="AA78">
        <v>0</v>
      </c>
      <c r="AB78">
        <v>1.512E-2</v>
      </c>
      <c r="AC78">
        <v>20</v>
      </c>
      <c r="AD78">
        <v>850</v>
      </c>
      <c r="AE78">
        <v>2</v>
      </c>
      <c r="AF78">
        <v>1</v>
      </c>
      <c r="AG78">
        <v>0.45600000000000002</v>
      </c>
      <c r="AH78">
        <v>0.36199999999999999</v>
      </c>
      <c r="AI78">
        <v>0.123</v>
      </c>
      <c r="AJ78">
        <v>5.8999999999999997E-2</v>
      </c>
      <c r="AK78">
        <f t="shared" ref="AK78:AK116" si="5">1-SUM(AG78:AJ78)</f>
        <v>0</v>
      </c>
      <c r="AL78" t="s">
        <v>35</v>
      </c>
      <c r="AM78">
        <v>7.0000000000000007E-2</v>
      </c>
    </row>
    <row r="79" spans="1:39" x14ac:dyDescent="0.25">
      <c r="A79" s="3" t="s">
        <v>26</v>
      </c>
      <c r="B79" t="s">
        <v>64</v>
      </c>
      <c r="C79">
        <v>200</v>
      </c>
      <c r="D79" t="s">
        <v>35</v>
      </c>
      <c r="E79" t="s">
        <v>35</v>
      </c>
      <c r="F79">
        <v>0.48209999999999997</v>
      </c>
      <c r="G79">
        <v>6.54E-2</v>
      </c>
      <c r="H79">
        <v>7.7000000000000002E-3</v>
      </c>
      <c r="I79">
        <v>8.9999999999999998E-4</v>
      </c>
      <c r="J79">
        <v>0.44390000000000002</v>
      </c>
      <c r="K79">
        <v>0.17710000000000001</v>
      </c>
      <c r="L79">
        <v>7.7799999999999994E-2</v>
      </c>
      <c r="M79">
        <v>3.0700000000000002E-2</v>
      </c>
      <c r="N79">
        <v>0.79220000000000002</v>
      </c>
      <c r="O79">
        <v>200</v>
      </c>
      <c r="P79">
        <v>0.67620000000000002</v>
      </c>
      <c r="Q79" t="s">
        <v>35</v>
      </c>
      <c r="R79" t="s">
        <v>35</v>
      </c>
      <c r="S79" t="s">
        <v>35</v>
      </c>
      <c r="T79" t="s">
        <v>35</v>
      </c>
      <c r="U79" t="s">
        <v>35</v>
      </c>
      <c r="V79">
        <v>1</v>
      </c>
      <c r="W79">
        <v>0.02</v>
      </c>
      <c r="X79">
        <v>0.96</v>
      </c>
      <c r="Y79">
        <v>0</v>
      </c>
      <c r="Z79">
        <v>0.02</v>
      </c>
      <c r="AA79">
        <v>0</v>
      </c>
      <c r="AB79">
        <v>1.512E-2</v>
      </c>
      <c r="AC79">
        <v>20</v>
      </c>
      <c r="AD79">
        <v>850</v>
      </c>
      <c r="AE79">
        <v>2.5</v>
      </c>
      <c r="AF79">
        <v>1</v>
      </c>
      <c r="AG79">
        <v>0.45600000000000002</v>
      </c>
      <c r="AH79">
        <v>0.36199999999999999</v>
      </c>
      <c r="AI79">
        <v>0.123</v>
      </c>
      <c r="AJ79">
        <v>5.8999999999999997E-2</v>
      </c>
      <c r="AK79">
        <f t="shared" si="5"/>
        <v>0</v>
      </c>
      <c r="AL79" t="s">
        <v>35</v>
      </c>
      <c r="AM79">
        <v>0.12</v>
      </c>
    </row>
    <row r="80" spans="1:39" x14ac:dyDescent="0.25">
      <c r="A80" s="3" t="s">
        <v>26</v>
      </c>
      <c r="B80" t="s">
        <v>65</v>
      </c>
      <c r="C80">
        <v>200</v>
      </c>
      <c r="D80" t="s">
        <v>35</v>
      </c>
      <c r="E80" t="s">
        <v>35</v>
      </c>
      <c r="F80">
        <v>0.48209999999999997</v>
      </c>
      <c r="G80">
        <v>6.54E-2</v>
      </c>
      <c r="H80">
        <v>7.7000000000000002E-3</v>
      </c>
      <c r="I80">
        <v>8.9999999999999998E-4</v>
      </c>
      <c r="J80">
        <v>0.44390000000000002</v>
      </c>
      <c r="K80">
        <v>0.17710000000000001</v>
      </c>
      <c r="L80">
        <v>7.7799999999999994E-2</v>
      </c>
      <c r="M80">
        <v>3.0700000000000002E-2</v>
      </c>
      <c r="N80">
        <v>0.79220000000000002</v>
      </c>
      <c r="O80">
        <v>200</v>
      </c>
      <c r="P80">
        <v>0.67620000000000002</v>
      </c>
      <c r="Q80" t="s">
        <v>35</v>
      </c>
      <c r="R80" t="s">
        <v>35</v>
      </c>
      <c r="S80" t="s">
        <v>35</v>
      </c>
      <c r="T80" t="s">
        <v>35</v>
      </c>
      <c r="U80" t="s">
        <v>35</v>
      </c>
      <c r="V80">
        <v>1</v>
      </c>
      <c r="W80">
        <v>0.02</v>
      </c>
      <c r="X80">
        <v>0.96</v>
      </c>
      <c r="Y80">
        <v>0</v>
      </c>
      <c r="Z80">
        <v>0.02</v>
      </c>
      <c r="AA80">
        <v>0</v>
      </c>
      <c r="AB80">
        <v>1.512E-2</v>
      </c>
      <c r="AC80">
        <v>20</v>
      </c>
      <c r="AD80">
        <v>850</v>
      </c>
      <c r="AE80">
        <v>3</v>
      </c>
      <c r="AF80">
        <v>1</v>
      </c>
      <c r="AG80">
        <v>0.45600000000000002</v>
      </c>
      <c r="AH80">
        <v>0.36199999999999999</v>
      </c>
      <c r="AI80">
        <v>0.123</v>
      </c>
      <c r="AJ80">
        <v>5.8999999999999997E-2</v>
      </c>
      <c r="AK80">
        <f t="shared" si="5"/>
        <v>0</v>
      </c>
      <c r="AL80" t="s">
        <v>35</v>
      </c>
      <c r="AM80">
        <v>0.2</v>
      </c>
    </row>
    <row r="81" spans="1:39" x14ac:dyDescent="0.25">
      <c r="A81" s="3" t="s">
        <v>26</v>
      </c>
      <c r="B81" t="s">
        <v>66</v>
      </c>
      <c r="C81">
        <v>200</v>
      </c>
      <c r="D81" t="s">
        <v>35</v>
      </c>
      <c r="E81" t="s">
        <v>35</v>
      </c>
      <c r="F81">
        <v>0.48209999999999997</v>
      </c>
      <c r="G81">
        <v>6.54E-2</v>
      </c>
      <c r="H81">
        <v>7.7000000000000002E-3</v>
      </c>
      <c r="I81">
        <v>8.9999999999999998E-4</v>
      </c>
      <c r="J81">
        <v>0.44390000000000002</v>
      </c>
      <c r="K81">
        <v>0.17710000000000001</v>
      </c>
      <c r="L81">
        <v>7.7799999999999994E-2</v>
      </c>
      <c r="M81">
        <v>3.0700000000000002E-2</v>
      </c>
      <c r="N81">
        <v>0.79220000000000002</v>
      </c>
      <c r="O81">
        <v>200</v>
      </c>
      <c r="P81">
        <v>0.67620000000000002</v>
      </c>
      <c r="Q81" t="s">
        <v>35</v>
      </c>
      <c r="R81" t="s">
        <v>35</v>
      </c>
      <c r="S81" t="s">
        <v>35</v>
      </c>
      <c r="T81" t="s">
        <v>35</v>
      </c>
      <c r="U81" t="s">
        <v>35</v>
      </c>
      <c r="V81">
        <v>1</v>
      </c>
      <c r="W81">
        <v>0.02</v>
      </c>
      <c r="X81">
        <v>0.96</v>
      </c>
      <c r="Y81">
        <v>0</v>
      </c>
      <c r="Z81">
        <v>0.02</v>
      </c>
      <c r="AA81">
        <v>0</v>
      </c>
      <c r="AB81">
        <v>1.512E-2</v>
      </c>
      <c r="AC81">
        <v>20</v>
      </c>
      <c r="AD81">
        <v>850</v>
      </c>
      <c r="AE81">
        <v>5</v>
      </c>
      <c r="AF81">
        <v>1</v>
      </c>
      <c r="AG81">
        <v>0.45600000000000002</v>
      </c>
      <c r="AH81">
        <v>0.36199999999999999</v>
      </c>
      <c r="AI81">
        <v>0.123</v>
      </c>
      <c r="AJ81">
        <v>5.8999999999999997E-2</v>
      </c>
      <c r="AK81">
        <f t="shared" si="5"/>
        <v>0</v>
      </c>
      <c r="AL81" t="s">
        <v>35</v>
      </c>
      <c r="AM81">
        <v>0.3</v>
      </c>
    </row>
    <row r="82" spans="1:39" x14ac:dyDescent="0.25">
      <c r="A82" s="3" t="s">
        <v>26</v>
      </c>
      <c r="B82" t="s">
        <v>67</v>
      </c>
      <c r="C82">
        <v>200</v>
      </c>
      <c r="D82" t="s">
        <v>35</v>
      </c>
      <c r="E82" t="s">
        <v>35</v>
      </c>
      <c r="F82">
        <v>0.48209999999999997</v>
      </c>
      <c r="G82">
        <v>6.54E-2</v>
      </c>
      <c r="H82">
        <v>7.7000000000000002E-3</v>
      </c>
      <c r="I82">
        <v>8.9999999999999998E-4</v>
      </c>
      <c r="J82">
        <v>0.44390000000000002</v>
      </c>
      <c r="K82">
        <v>0.17710000000000001</v>
      </c>
      <c r="L82">
        <v>7.7799999999999994E-2</v>
      </c>
      <c r="M82">
        <v>3.0700000000000002E-2</v>
      </c>
      <c r="N82">
        <v>0.79220000000000002</v>
      </c>
      <c r="O82">
        <v>200</v>
      </c>
      <c r="P82">
        <v>0.67620000000000002</v>
      </c>
      <c r="Q82" t="s">
        <v>35</v>
      </c>
      <c r="R82" t="s">
        <v>35</v>
      </c>
      <c r="S82" t="s">
        <v>35</v>
      </c>
      <c r="T82" t="s">
        <v>35</v>
      </c>
      <c r="U82" t="s">
        <v>35</v>
      </c>
      <c r="V82">
        <v>1</v>
      </c>
      <c r="W82">
        <v>0.02</v>
      </c>
      <c r="X82">
        <v>0.96</v>
      </c>
      <c r="Y82">
        <v>0</v>
      </c>
      <c r="Z82">
        <v>0.02</v>
      </c>
      <c r="AA82">
        <v>0</v>
      </c>
      <c r="AB82">
        <v>1.512E-2</v>
      </c>
      <c r="AC82">
        <v>20</v>
      </c>
      <c r="AD82">
        <v>850</v>
      </c>
      <c r="AE82">
        <v>10</v>
      </c>
      <c r="AF82">
        <v>1</v>
      </c>
      <c r="AG82">
        <v>0.45600000000000002</v>
      </c>
      <c r="AH82">
        <v>0.36199999999999999</v>
      </c>
      <c r="AI82">
        <v>0.123</v>
      </c>
      <c r="AJ82">
        <v>5.8999999999999997E-2</v>
      </c>
      <c r="AK82">
        <f t="shared" si="5"/>
        <v>0</v>
      </c>
      <c r="AL82" t="s">
        <v>35</v>
      </c>
      <c r="AM82">
        <v>0.52</v>
      </c>
    </row>
    <row r="83" spans="1:39" x14ac:dyDescent="0.25">
      <c r="A83" s="3" t="s">
        <v>26</v>
      </c>
      <c r="B83" t="s">
        <v>68</v>
      </c>
      <c r="C83">
        <v>200</v>
      </c>
      <c r="D83" t="s">
        <v>35</v>
      </c>
      <c r="E83" t="s">
        <v>35</v>
      </c>
      <c r="F83">
        <v>0.48209999999999997</v>
      </c>
      <c r="G83">
        <v>6.54E-2</v>
      </c>
      <c r="H83">
        <v>7.7000000000000002E-3</v>
      </c>
      <c r="I83">
        <v>8.9999999999999998E-4</v>
      </c>
      <c r="J83">
        <v>0.44390000000000002</v>
      </c>
      <c r="K83">
        <v>0.17710000000000001</v>
      </c>
      <c r="L83">
        <v>7.7799999999999994E-2</v>
      </c>
      <c r="M83">
        <v>3.0700000000000002E-2</v>
      </c>
      <c r="N83">
        <v>0.79220000000000002</v>
      </c>
      <c r="O83">
        <v>200</v>
      </c>
      <c r="P83">
        <v>0.67620000000000002</v>
      </c>
      <c r="Q83" t="s">
        <v>35</v>
      </c>
      <c r="R83" t="s">
        <v>35</v>
      </c>
      <c r="S83" t="s">
        <v>35</v>
      </c>
      <c r="T83" t="s">
        <v>35</v>
      </c>
      <c r="U83" t="s">
        <v>35</v>
      </c>
      <c r="V83">
        <v>1</v>
      </c>
      <c r="W83">
        <v>0.02</v>
      </c>
      <c r="X83">
        <v>0.96</v>
      </c>
      <c r="Y83">
        <v>0</v>
      </c>
      <c r="Z83">
        <v>0.02</v>
      </c>
      <c r="AA83">
        <v>0</v>
      </c>
      <c r="AB83">
        <v>1.512E-2</v>
      </c>
      <c r="AC83">
        <v>20</v>
      </c>
      <c r="AD83">
        <v>850</v>
      </c>
      <c r="AE83">
        <v>15</v>
      </c>
      <c r="AF83">
        <v>1</v>
      </c>
      <c r="AG83">
        <v>0.45600000000000002</v>
      </c>
      <c r="AH83">
        <v>0.36199999999999999</v>
      </c>
      <c r="AI83">
        <v>0.123</v>
      </c>
      <c r="AJ83">
        <v>5.8999999999999997E-2</v>
      </c>
      <c r="AK83">
        <f t="shared" si="5"/>
        <v>0</v>
      </c>
      <c r="AL83" t="s">
        <v>35</v>
      </c>
      <c r="AM83">
        <v>0.68</v>
      </c>
    </row>
    <row r="84" spans="1:39" x14ac:dyDescent="0.25">
      <c r="A84" s="3" t="s">
        <v>26</v>
      </c>
      <c r="B84" t="s">
        <v>69</v>
      </c>
      <c r="C84">
        <v>200</v>
      </c>
      <c r="D84" t="s">
        <v>35</v>
      </c>
      <c r="E84" t="s">
        <v>35</v>
      </c>
      <c r="F84">
        <v>0.48209999999999997</v>
      </c>
      <c r="G84">
        <v>6.54E-2</v>
      </c>
      <c r="H84">
        <v>7.7000000000000002E-3</v>
      </c>
      <c r="I84">
        <v>8.9999999999999998E-4</v>
      </c>
      <c r="J84">
        <v>0.44390000000000002</v>
      </c>
      <c r="K84">
        <v>0.17710000000000001</v>
      </c>
      <c r="L84">
        <v>7.7799999999999994E-2</v>
      </c>
      <c r="M84">
        <v>3.0700000000000002E-2</v>
      </c>
      <c r="N84">
        <v>0.79220000000000002</v>
      </c>
      <c r="O84">
        <v>200</v>
      </c>
      <c r="P84">
        <v>0.67620000000000002</v>
      </c>
      <c r="Q84" t="s">
        <v>35</v>
      </c>
      <c r="R84" t="s">
        <v>35</v>
      </c>
      <c r="S84" t="s">
        <v>35</v>
      </c>
      <c r="T84" t="s">
        <v>35</v>
      </c>
      <c r="U84" t="s">
        <v>35</v>
      </c>
      <c r="V84">
        <v>1</v>
      </c>
      <c r="W84">
        <v>0.02</v>
      </c>
      <c r="X84">
        <v>0.96</v>
      </c>
      <c r="Y84">
        <v>0</v>
      </c>
      <c r="Z84">
        <v>0.02</v>
      </c>
      <c r="AA84">
        <v>0</v>
      </c>
      <c r="AB84">
        <v>1.512E-2</v>
      </c>
      <c r="AC84">
        <v>20</v>
      </c>
      <c r="AD84">
        <v>850</v>
      </c>
      <c r="AE84">
        <v>20</v>
      </c>
      <c r="AF84">
        <v>1</v>
      </c>
      <c r="AG84">
        <v>0.45600000000000002</v>
      </c>
      <c r="AH84">
        <v>0.36199999999999999</v>
      </c>
      <c r="AI84">
        <v>0.123</v>
      </c>
      <c r="AJ84">
        <v>5.8999999999999997E-2</v>
      </c>
      <c r="AK84">
        <f t="shared" si="5"/>
        <v>0</v>
      </c>
      <c r="AL84" t="s">
        <v>35</v>
      </c>
      <c r="AM84">
        <v>0.8</v>
      </c>
    </row>
    <row r="85" spans="1:39" x14ac:dyDescent="0.25">
      <c r="A85" s="3" t="s">
        <v>26</v>
      </c>
      <c r="B85" t="s">
        <v>71</v>
      </c>
      <c r="C85">
        <v>200</v>
      </c>
      <c r="D85" t="s">
        <v>35</v>
      </c>
      <c r="E85" t="s">
        <v>35</v>
      </c>
      <c r="F85">
        <v>0.48209999999999997</v>
      </c>
      <c r="G85">
        <v>6.54E-2</v>
      </c>
      <c r="H85">
        <v>7.7000000000000002E-3</v>
      </c>
      <c r="I85">
        <v>8.9999999999999998E-4</v>
      </c>
      <c r="J85">
        <v>0.44390000000000002</v>
      </c>
      <c r="K85">
        <v>0.17710000000000001</v>
      </c>
      <c r="L85">
        <v>7.7799999999999994E-2</v>
      </c>
      <c r="M85">
        <v>3.0700000000000002E-2</v>
      </c>
      <c r="N85">
        <v>0.79220000000000002</v>
      </c>
      <c r="O85">
        <v>200</v>
      </c>
      <c r="P85">
        <v>0.67620000000000002</v>
      </c>
      <c r="Q85" t="s">
        <v>35</v>
      </c>
      <c r="R85" t="s">
        <v>35</v>
      </c>
      <c r="S85" t="s">
        <v>35</v>
      </c>
      <c r="T85" t="s">
        <v>35</v>
      </c>
      <c r="U85" t="s">
        <v>35</v>
      </c>
      <c r="V85">
        <v>1</v>
      </c>
      <c r="W85">
        <v>0.02</v>
      </c>
      <c r="X85">
        <v>0.96</v>
      </c>
      <c r="Y85">
        <v>0</v>
      </c>
      <c r="Z85">
        <v>0.02</v>
      </c>
      <c r="AA85">
        <v>0</v>
      </c>
      <c r="AB85">
        <v>1.512E-2</v>
      </c>
      <c r="AC85">
        <v>20</v>
      </c>
      <c r="AD85">
        <v>900</v>
      </c>
      <c r="AE85">
        <v>1</v>
      </c>
      <c r="AF85">
        <v>1</v>
      </c>
      <c r="AG85">
        <v>0.45600000000000002</v>
      </c>
      <c r="AH85">
        <v>0.36199999999999999</v>
      </c>
      <c r="AI85">
        <v>0.123</v>
      </c>
      <c r="AJ85">
        <v>5.8999999999999997E-2</v>
      </c>
      <c r="AK85">
        <f t="shared" si="5"/>
        <v>0</v>
      </c>
      <c r="AL85" t="s">
        <v>35</v>
      </c>
      <c r="AM85">
        <v>0.03</v>
      </c>
    </row>
    <row r="86" spans="1:39" x14ac:dyDescent="0.25">
      <c r="A86" s="3" t="s">
        <v>26</v>
      </c>
      <c r="B86" t="s">
        <v>72</v>
      </c>
      <c r="C86">
        <v>200</v>
      </c>
      <c r="D86" t="s">
        <v>35</v>
      </c>
      <c r="E86" t="s">
        <v>35</v>
      </c>
      <c r="F86">
        <v>0.48209999999999997</v>
      </c>
      <c r="G86">
        <v>6.54E-2</v>
      </c>
      <c r="H86">
        <v>7.7000000000000002E-3</v>
      </c>
      <c r="I86">
        <v>8.9999999999999998E-4</v>
      </c>
      <c r="J86">
        <v>0.44390000000000002</v>
      </c>
      <c r="K86">
        <v>0.17710000000000001</v>
      </c>
      <c r="L86">
        <v>7.7799999999999994E-2</v>
      </c>
      <c r="M86">
        <v>3.0700000000000002E-2</v>
      </c>
      <c r="N86">
        <v>0.79220000000000002</v>
      </c>
      <c r="O86">
        <v>200</v>
      </c>
      <c r="P86">
        <v>0.67620000000000002</v>
      </c>
      <c r="Q86" t="s">
        <v>35</v>
      </c>
      <c r="R86" t="s">
        <v>35</v>
      </c>
      <c r="S86" t="s">
        <v>35</v>
      </c>
      <c r="T86" t="s">
        <v>35</v>
      </c>
      <c r="U86" t="s">
        <v>35</v>
      </c>
      <c r="V86">
        <v>1</v>
      </c>
      <c r="W86">
        <v>0.02</v>
      </c>
      <c r="X86">
        <v>0.96</v>
      </c>
      <c r="Y86">
        <v>0</v>
      </c>
      <c r="Z86">
        <v>0.02</v>
      </c>
      <c r="AA86">
        <v>0</v>
      </c>
      <c r="AB86">
        <v>1.512E-2</v>
      </c>
      <c r="AC86">
        <v>20</v>
      </c>
      <c r="AD86">
        <v>900</v>
      </c>
      <c r="AE86">
        <v>2</v>
      </c>
      <c r="AF86">
        <v>1</v>
      </c>
      <c r="AG86">
        <v>0.45600000000000002</v>
      </c>
      <c r="AH86">
        <v>0.36199999999999999</v>
      </c>
      <c r="AI86">
        <v>0.123</v>
      </c>
      <c r="AJ86">
        <v>5.8999999999999997E-2</v>
      </c>
      <c r="AK86">
        <f t="shared" si="5"/>
        <v>0</v>
      </c>
      <c r="AL86" t="s">
        <v>35</v>
      </c>
      <c r="AM86">
        <v>0.08</v>
      </c>
    </row>
    <row r="87" spans="1:39" x14ac:dyDescent="0.25">
      <c r="A87" s="3" t="s">
        <v>26</v>
      </c>
      <c r="B87" t="s">
        <v>73</v>
      </c>
      <c r="C87">
        <v>200</v>
      </c>
      <c r="D87" t="s">
        <v>35</v>
      </c>
      <c r="E87" t="s">
        <v>35</v>
      </c>
      <c r="F87">
        <v>0.48209999999999997</v>
      </c>
      <c r="G87">
        <v>6.54E-2</v>
      </c>
      <c r="H87">
        <v>7.7000000000000002E-3</v>
      </c>
      <c r="I87">
        <v>8.9999999999999998E-4</v>
      </c>
      <c r="J87">
        <v>0.44390000000000002</v>
      </c>
      <c r="K87">
        <v>0.17710000000000001</v>
      </c>
      <c r="L87">
        <v>7.7799999999999994E-2</v>
      </c>
      <c r="M87">
        <v>3.0700000000000002E-2</v>
      </c>
      <c r="N87">
        <v>0.79220000000000002</v>
      </c>
      <c r="O87">
        <v>200</v>
      </c>
      <c r="P87">
        <v>0.67620000000000002</v>
      </c>
      <c r="Q87" t="s">
        <v>35</v>
      </c>
      <c r="R87" t="s">
        <v>35</v>
      </c>
      <c r="S87" t="s">
        <v>35</v>
      </c>
      <c r="T87" t="s">
        <v>35</v>
      </c>
      <c r="U87" t="s">
        <v>35</v>
      </c>
      <c r="V87">
        <v>1</v>
      </c>
      <c r="W87">
        <v>0.02</v>
      </c>
      <c r="X87">
        <v>0.96</v>
      </c>
      <c r="Y87">
        <v>0</v>
      </c>
      <c r="Z87">
        <v>0.02</v>
      </c>
      <c r="AA87">
        <v>0</v>
      </c>
      <c r="AB87">
        <v>1.512E-2</v>
      </c>
      <c r="AC87">
        <v>20</v>
      </c>
      <c r="AD87">
        <v>900</v>
      </c>
      <c r="AE87">
        <v>2.5</v>
      </c>
      <c r="AF87">
        <v>1</v>
      </c>
      <c r="AG87">
        <v>0.45600000000000002</v>
      </c>
      <c r="AH87">
        <v>0.36199999999999999</v>
      </c>
      <c r="AI87">
        <v>0.123</v>
      </c>
      <c r="AJ87">
        <v>5.8999999999999997E-2</v>
      </c>
      <c r="AK87">
        <f t="shared" si="5"/>
        <v>0</v>
      </c>
      <c r="AL87" t="s">
        <v>35</v>
      </c>
      <c r="AM87">
        <v>0.18</v>
      </c>
    </row>
    <row r="88" spans="1:39" x14ac:dyDescent="0.25">
      <c r="A88" s="3" t="s">
        <v>26</v>
      </c>
      <c r="B88" t="s">
        <v>74</v>
      </c>
      <c r="C88">
        <v>200</v>
      </c>
      <c r="D88" t="s">
        <v>35</v>
      </c>
      <c r="E88" t="s">
        <v>35</v>
      </c>
      <c r="F88">
        <v>0.48209999999999997</v>
      </c>
      <c r="G88">
        <v>6.54E-2</v>
      </c>
      <c r="H88">
        <v>7.7000000000000002E-3</v>
      </c>
      <c r="I88">
        <v>8.9999999999999998E-4</v>
      </c>
      <c r="J88">
        <v>0.44390000000000002</v>
      </c>
      <c r="K88">
        <v>0.17710000000000001</v>
      </c>
      <c r="L88">
        <v>7.7799999999999994E-2</v>
      </c>
      <c r="M88">
        <v>3.0700000000000002E-2</v>
      </c>
      <c r="N88">
        <v>0.79220000000000002</v>
      </c>
      <c r="O88">
        <v>200</v>
      </c>
      <c r="P88">
        <v>0.67620000000000002</v>
      </c>
      <c r="Q88" t="s">
        <v>35</v>
      </c>
      <c r="R88" t="s">
        <v>35</v>
      </c>
      <c r="S88" t="s">
        <v>35</v>
      </c>
      <c r="T88" t="s">
        <v>35</v>
      </c>
      <c r="U88" t="s">
        <v>35</v>
      </c>
      <c r="V88">
        <v>1</v>
      </c>
      <c r="W88">
        <v>0.02</v>
      </c>
      <c r="X88">
        <v>0.96</v>
      </c>
      <c r="Y88">
        <v>0</v>
      </c>
      <c r="Z88">
        <v>0.02</v>
      </c>
      <c r="AA88">
        <v>0</v>
      </c>
      <c r="AB88">
        <v>1.512E-2</v>
      </c>
      <c r="AC88">
        <v>20</v>
      </c>
      <c r="AD88">
        <v>900</v>
      </c>
      <c r="AE88">
        <v>3</v>
      </c>
      <c r="AF88">
        <v>1</v>
      </c>
      <c r="AG88">
        <v>0.45600000000000002</v>
      </c>
      <c r="AH88">
        <v>0.36199999999999999</v>
      </c>
      <c r="AI88">
        <v>0.123</v>
      </c>
      <c r="AJ88">
        <v>5.8999999999999997E-2</v>
      </c>
      <c r="AK88">
        <f t="shared" si="5"/>
        <v>0</v>
      </c>
      <c r="AL88" t="s">
        <v>35</v>
      </c>
      <c r="AM88">
        <v>0.24</v>
      </c>
    </row>
    <row r="89" spans="1:39" x14ac:dyDescent="0.25">
      <c r="A89" s="3" t="s">
        <v>26</v>
      </c>
      <c r="B89" t="s">
        <v>75</v>
      </c>
      <c r="C89">
        <v>200</v>
      </c>
      <c r="D89" t="s">
        <v>35</v>
      </c>
      <c r="E89" t="s">
        <v>35</v>
      </c>
      <c r="F89">
        <v>0.48209999999999997</v>
      </c>
      <c r="G89">
        <v>6.54E-2</v>
      </c>
      <c r="H89">
        <v>7.7000000000000002E-3</v>
      </c>
      <c r="I89">
        <v>8.9999999999999998E-4</v>
      </c>
      <c r="J89">
        <v>0.44390000000000002</v>
      </c>
      <c r="K89">
        <v>0.17710000000000001</v>
      </c>
      <c r="L89">
        <v>7.7799999999999994E-2</v>
      </c>
      <c r="M89">
        <v>3.0700000000000002E-2</v>
      </c>
      <c r="N89">
        <v>0.79220000000000002</v>
      </c>
      <c r="O89">
        <v>200</v>
      </c>
      <c r="P89">
        <v>0.67620000000000002</v>
      </c>
      <c r="Q89" t="s">
        <v>35</v>
      </c>
      <c r="R89" t="s">
        <v>35</v>
      </c>
      <c r="S89" t="s">
        <v>35</v>
      </c>
      <c r="T89" t="s">
        <v>35</v>
      </c>
      <c r="U89" t="s">
        <v>35</v>
      </c>
      <c r="V89">
        <v>1</v>
      </c>
      <c r="W89">
        <v>0.02</v>
      </c>
      <c r="X89">
        <v>0.96</v>
      </c>
      <c r="Y89">
        <v>0</v>
      </c>
      <c r="Z89">
        <v>0.02</v>
      </c>
      <c r="AA89">
        <v>0</v>
      </c>
      <c r="AB89">
        <v>1.512E-2</v>
      </c>
      <c r="AC89">
        <v>20</v>
      </c>
      <c r="AD89">
        <v>900</v>
      </c>
      <c r="AE89">
        <v>5</v>
      </c>
      <c r="AF89">
        <v>1</v>
      </c>
      <c r="AG89">
        <v>0.45600000000000002</v>
      </c>
      <c r="AH89">
        <v>0.36199999999999999</v>
      </c>
      <c r="AI89">
        <v>0.123</v>
      </c>
      <c r="AJ89">
        <v>5.8999999999999997E-2</v>
      </c>
      <c r="AK89">
        <f t="shared" si="5"/>
        <v>0</v>
      </c>
      <c r="AL89" t="s">
        <v>35</v>
      </c>
      <c r="AM89">
        <v>0.38</v>
      </c>
    </row>
    <row r="90" spans="1:39" x14ac:dyDescent="0.25">
      <c r="A90" s="3" t="s">
        <v>26</v>
      </c>
      <c r="B90" t="s">
        <v>76</v>
      </c>
      <c r="C90">
        <v>200</v>
      </c>
      <c r="D90" t="s">
        <v>35</v>
      </c>
      <c r="E90" t="s">
        <v>35</v>
      </c>
      <c r="F90">
        <v>0.48209999999999997</v>
      </c>
      <c r="G90">
        <v>6.54E-2</v>
      </c>
      <c r="H90">
        <v>7.7000000000000002E-3</v>
      </c>
      <c r="I90">
        <v>8.9999999999999998E-4</v>
      </c>
      <c r="J90">
        <v>0.44390000000000002</v>
      </c>
      <c r="K90">
        <v>0.17710000000000001</v>
      </c>
      <c r="L90">
        <v>7.7799999999999994E-2</v>
      </c>
      <c r="M90">
        <v>3.0700000000000002E-2</v>
      </c>
      <c r="N90">
        <v>0.79220000000000002</v>
      </c>
      <c r="O90">
        <v>200</v>
      </c>
      <c r="P90">
        <v>0.67620000000000002</v>
      </c>
      <c r="Q90" t="s">
        <v>35</v>
      </c>
      <c r="R90" t="s">
        <v>35</v>
      </c>
      <c r="S90" t="s">
        <v>35</v>
      </c>
      <c r="T90" t="s">
        <v>35</v>
      </c>
      <c r="U90" t="s">
        <v>35</v>
      </c>
      <c r="V90">
        <v>1</v>
      </c>
      <c r="W90">
        <v>0.02</v>
      </c>
      <c r="X90">
        <v>0.96</v>
      </c>
      <c r="Y90">
        <v>0</v>
      </c>
      <c r="Z90">
        <v>0.02</v>
      </c>
      <c r="AA90">
        <v>0</v>
      </c>
      <c r="AB90">
        <v>1.512E-2</v>
      </c>
      <c r="AC90">
        <v>20</v>
      </c>
      <c r="AD90">
        <v>900</v>
      </c>
      <c r="AE90">
        <v>10</v>
      </c>
      <c r="AF90">
        <v>1</v>
      </c>
      <c r="AG90">
        <v>0.45600000000000002</v>
      </c>
      <c r="AH90">
        <v>0.36199999999999999</v>
      </c>
      <c r="AI90">
        <v>0.123</v>
      </c>
      <c r="AJ90">
        <v>5.8999999999999997E-2</v>
      </c>
      <c r="AK90">
        <f t="shared" si="5"/>
        <v>0</v>
      </c>
      <c r="AL90" t="s">
        <v>35</v>
      </c>
      <c r="AM90">
        <v>0.625</v>
      </c>
    </row>
    <row r="91" spans="1:39" x14ac:dyDescent="0.25">
      <c r="A91" s="3" t="s">
        <v>26</v>
      </c>
      <c r="B91" t="s">
        <v>77</v>
      </c>
      <c r="C91">
        <v>200</v>
      </c>
      <c r="D91" t="s">
        <v>35</v>
      </c>
      <c r="E91" t="s">
        <v>35</v>
      </c>
      <c r="F91">
        <v>0.48209999999999997</v>
      </c>
      <c r="G91">
        <v>6.54E-2</v>
      </c>
      <c r="H91">
        <v>7.7000000000000002E-3</v>
      </c>
      <c r="I91">
        <v>8.9999999999999998E-4</v>
      </c>
      <c r="J91">
        <v>0.44390000000000002</v>
      </c>
      <c r="K91">
        <v>0.17710000000000001</v>
      </c>
      <c r="L91">
        <v>7.7799999999999994E-2</v>
      </c>
      <c r="M91">
        <v>3.0700000000000002E-2</v>
      </c>
      <c r="N91">
        <v>0.79220000000000002</v>
      </c>
      <c r="O91">
        <v>200</v>
      </c>
      <c r="P91">
        <v>0.67620000000000002</v>
      </c>
      <c r="Q91" t="s">
        <v>35</v>
      </c>
      <c r="R91" t="s">
        <v>35</v>
      </c>
      <c r="S91" t="s">
        <v>35</v>
      </c>
      <c r="T91" t="s">
        <v>35</v>
      </c>
      <c r="U91" t="s">
        <v>35</v>
      </c>
      <c r="V91">
        <v>1</v>
      </c>
      <c r="W91">
        <v>0.02</v>
      </c>
      <c r="X91">
        <v>0.96</v>
      </c>
      <c r="Y91">
        <v>0</v>
      </c>
      <c r="Z91">
        <v>0.02</v>
      </c>
      <c r="AA91">
        <v>0</v>
      </c>
      <c r="AB91">
        <v>1.512E-2</v>
      </c>
      <c r="AC91">
        <v>20</v>
      </c>
      <c r="AD91">
        <v>900</v>
      </c>
      <c r="AE91">
        <v>15</v>
      </c>
      <c r="AF91">
        <v>1</v>
      </c>
      <c r="AG91">
        <v>0.45600000000000002</v>
      </c>
      <c r="AH91">
        <v>0.36199999999999999</v>
      </c>
      <c r="AI91">
        <v>0.123</v>
      </c>
      <c r="AJ91">
        <v>5.8999999999999997E-2</v>
      </c>
      <c r="AK91">
        <f t="shared" si="5"/>
        <v>0</v>
      </c>
      <c r="AL91" t="s">
        <v>35</v>
      </c>
      <c r="AM91">
        <v>0.78</v>
      </c>
    </row>
    <row r="92" spans="1:39" x14ac:dyDescent="0.25">
      <c r="A92" s="3" t="s">
        <v>26</v>
      </c>
      <c r="B92" t="s">
        <v>78</v>
      </c>
      <c r="C92">
        <v>200</v>
      </c>
      <c r="D92" t="s">
        <v>35</v>
      </c>
      <c r="E92" t="s">
        <v>35</v>
      </c>
      <c r="F92">
        <v>0.48209999999999997</v>
      </c>
      <c r="G92">
        <v>6.54E-2</v>
      </c>
      <c r="H92">
        <v>7.7000000000000002E-3</v>
      </c>
      <c r="I92">
        <v>8.9999999999999998E-4</v>
      </c>
      <c r="J92">
        <v>0.44390000000000002</v>
      </c>
      <c r="K92">
        <v>0.17710000000000001</v>
      </c>
      <c r="L92">
        <v>7.7799999999999994E-2</v>
      </c>
      <c r="M92">
        <v>3.0700000000000002E-2</v>
      </c>
      <c r="N92">
        <v>0.79220000000000002</v>
      </c>
      <c r="O92">
        <v>200</v>
      </c>
      <c r="P92">
        <v>0.67620000000000002</v>
      </c>
      <c r="Q92" t="s">
        <v>35</v>
      </c>
      <c r="R92" t="s">
        <v>35</v>
      </c>
      <c r="S92" t="s">
        <v>35</v>
      </c>
      <c r="T92" t="s">
        <v>35</v>
      </c>
      <c r="U92" t="s">
        <v>35</v>
      </c>
      <c r="V92">
        <v>1</v>
      </c>
      <c r="W92">
        <v>0.02</v>
      </c>
      <c r="X92">
        <v>0.96</v>
      </c>
      <c r="Y92">
        <v>0</v>
      </c>
      <c r="Z92">
        <v>0.02</v>
      </c>
      <c r="AA92">
        <v>0</v>
      </c>
      <c r="AB92">
        <v>1.512E-2</v>
      </c>
      <c r="AC92">
        <v>20</v>
      </c>
      <c r="AD92">
        <v>900</v>
      </c>
      <c r="AE92">
        <v>20</v>
      </c>
      <c r="AF92">
        <v>1</v>
      </c>
      <c r="AG92">
        <v>0.45600000000000002</v>
      </c>
      <c r="AH92">
        <v>0.36199999999999999</v>
      </c>
      <c r="AI92">
        <v>0.123</v>
      </c>
      <c r="AJ92">
        <v>5.8999999999999997E-2</v>
      </c>
      <c r="AK92">
        <f t="shared" si="5"/>
        <v>0</v>
      </c>
      <c r="AL92" t="s">
        <v>35</v>
      </c>
      <c r="AM92">
        <v>0.89</v>
      </c>
    </row>
    <row r="93" spans="1:39" x14ac:dyDescent="0.25">
      <c r="A93" s="3" t="s">
        <v>26</v>
      </c>
      <c r="B93" t="s">
        <v>80</v>
      </c>
      <c r="C93">
        <v>200</v>
      </c>
      <c r="D93" t="s">
        <v>35</v>
      </c>
      <c r="E93" t="s">
        <v>35</v>
      </c>
      <c r="F93">
        <v>0.48209999999999997</v>
      </c>
      <c r="G93">
        <v>6.54E-2</v>
      </c>
      <c r="H93">
        <v>7.7000000000000002E-3</v>
      </c>
      <c r="I93">
        <v>8.9999999999999998E-4</v>
      </c>
      <c r="J93">
        <v>0.44390000000000002</v>
      </c>
      <c r="K93">
        <v>0.17710000000000001</v>
      </c>
      <c r="L93">
        <v>7.7799999999999994E-2</v>
      </c>
      <c r="M93">
        <v>3.0700000000000002E-2</v>
      </c>
      <c r="N93">
        <v>0.79220000000000002</v>
      </c>
      <c r="O93">
        <v>200</v>
      </c>
      <c r="P93">
        <v>0.67620000000000002</v>
      </c>
      <c r="Q93" t="s">
        <v>35</v>
      </c>
      <c r="R93" t="s">
        <v>35</v>
      </c>
      <c r="S93" t="s">
        <v>35</v>
      </c>
      <c r="T93" t="s">
        <v>35</v>
      </c>
      <c r="U93" t="s">
        <v>35</v>
      </c>
      <c r="V93">
        <v>1</v>
      </c>
      <c r="W93">
        <v>0.02</v>
      </c>
      <c r="X93">
        <v>0.96</v>
      </c>
      <c r="Y93">
        <v>0</v>
      </c>
      <c r="Z93">
        <v>0.02</v>
      </c>
      <c r="AA93">
        <v>0</v>
      </c>
      <c r="AB93">
        <v>1.512E-2</v>
      </c>
      <c r="AC93">
        <v>20</v>
      </c>
      <c r="AD93">
        <v>950</v>
      </c>
      <c r="AE93">
        <v>1</v>
      </c>
      <c r="AF93">
        <v>1</v>
      </c>
      <c r="AG93">
        <v>0.45600000000000002</v>
      </c>
      <c r="AH93">
        <v>0.36199999999999999</v>
      </c>
      <c r="AI93">
        <v>0.123</v>
      </c>
      <c r="AJ93">
        <v>5.8999999999999997E-2</v>
      </c>
      <c r="AK93">
        <f t="shared" si="5"/>
        <v>0</v>
      </c>
      <c r="AL93" t="s">
        <v>35</v>
      </c>
      <c r="AM93">
        <v>0.04</v>
      </c>
    </row>
    <row r="94" spans="1:39" x14ac:dyDescent="0.25">
      <c r="A94" s="3" t="s">
        <v>26</v>
      </c>
      <c r="B94" t="s">
        <v>81</v>
      </c>
      <c r="C94">
        <v>200</v>
      </c>
      <c r="D94" t="s">
        <v>35</v>
      </c>
      <c r="E94" t="s">
        <v>35</v>
      </c>
      <c r="F94">
        <v>0.48209999999999997</v>
      </c>
      <c r="G94">
        <v>6.54E-2</v>
      </c>
      <c r="H94">
        <v>7.7000000000000002E-3</v>
      </c>
      <c r="I94">
        <v>8.9999999999999998E-4</v>
      </c>
      <c r="J94">
        <v>0.44390000000000002</v>
      </c>
      <c r="K94">
        <v>0.17710000000000001</v>
      </c>
      <c r="L94">
        <v>7.7799999999999994E-2</v>
      </c>
      <c r="M94">
        <v>3.0700000000000002E-2</v>
      </c>
      <c r="N94">
        <v>0.79220000000000002</v>
      </c>
      <c r="O94">
        <v>200</v>
      </c>
      <c r="P94">
        <v>0.67620000000000002</v>
      </c>
      <c r="Q94" t="s">
        <v>35</v>
      </c>
      <c r="R94" t="s">
        <v>35</v>
      </c>
      <c r="S94" t="s">
        <v>35</v>
      </c>
      <c r="T94" t="s">
        <v>35</v>
      </c>
      <c r="U94" t="s">
        <v>35</v>
      </c>
      <c r="V94">
        <v>1</v>
      </c>
      <c r="W94">
        <v>0.02</v>
      </c>
      <c r="X94">
        <v>0.96</v>
      </c>
      <c r="Y94">
        <v>0</v>
      </c>
      <c r="Z94">
        <v>0.02</v>
      </c>
      <c r="AA94">
        <v>0</v>
      </c>
      <c r="AB94">
        <v>1.512E-2</v>
      </c>
      <c r="AC94">
        <v>20</v>
      </c>
      <c r="AD94">
        <v>950</v>
      </c>
      <c r="AE94">
        <v>2</v>
      </c>
      <c r="AF94">
        <v>1</v>
      </c>
      <c r="AG94">
        <v>0.45600000000000002</v>
      </c>
      <c r="AH94">
        <v>0.36199999999999999</v>
      </c>
      <c r="AI94">
        <v>0.123</v>
      </c>
      <c r="AJ94">
        <v>5.8999999999999997E-2</v>
      </c>
      <c r="AK94">
        <f t="shared" si="5"/>
        <v>0</v>
      </c>
      <c r="AL94" t="s">
        <v>35</v>
      </c>
      <c r="AM94">
        <v>0.1</v>
      </c>
    </row>
    <row r="95" spans="1:39" x14ac:dyDescent="0.25">
      <c r="A95" s="3" t="s">
        <v>26</v>
      </c>
      <c r="B95" t="s">
        <v>82</v>
      </c>
      <c r="C95">
        <v>200</v>
      </c>
      <c r="D95" t="s">
        <v>35</v>
      </c>
      <c r="E95" t="s">
        <v>35</v>
      </c>
      <c r="F95">
        <v>0.48209999999999997</v>
      </c>
      <c r="G95">
        <v>6.54E-2</v>
      </c>
      <c r="H95">
        <v>7.7000000000000002E-3</v>
      </c>
      <c r="I95">
        <v>8.9999999999999998E-4</v>
      </c>
      <c r="J95">
        <v>0.44390000000000002</v>
      </c>
      <c r="K95">
        <v>0.17710000000000001</v>
      </c>
      <c r="L95">
        <v>7.7799999999999994E-2</v>
      </c>
      <c r="M95">
        <v>3.0700000000000002E-2</v>
      </c>
      <c r="N95">
        <v>0.79220000000000002</v>
      </c>
      <c r="O95">
        <v>200</v>
      </c>
      <c r="P95">
        <v>0.67620000000000002</v>
      </c>
      <c r="Q95" t="s">
        <v>35</v>
      </c>
      <c r="R95" t="s">
        <v>35</v>
      </c>
      <c r="S95" t="s">
        <v>35</v>
      </c>
      <c r="T95" t="s">
        <v>35</v>
      </c>
      <c r="U95" t="s">
        <v>35</v>
      </c>
      <c r="V95">
        <v>1</v>
      </c>
      <c r="W95">
        <v>0.02</v>
      </c>
      <c r="X95">
        <v>0.96</v>
      </c>
      <c r="Y95">
        <v>0</v>
      </c>
      <c r="Z95">
        <v>0.02</v>
      </c>
      <c r="AA95">
        <v>0</v>
      </c>
      <c r="AB95">
        <v>1.512E-2</v>
      </c>
      <c r="AC95">
        <v>20</v>
      </c>
      <c r="AD95">
        <v>950</v>
      </c>
      <c r="AE95">
        <v>2.5</v>
      </c>
      <c r="AF95">
        <v>1</v>
      </c>
      <c r="AG95">
        <v>0.45600000000000002</v>
      </c>
      <c r="AH95">
        <v>0.36199999999999999</v>
      </c>
      <c r="AI95">
        <v>0.123</v>
      </c>
      <c r="AJ95">
        <v>5.8999999999999997E-2</v>
      </c>
      <c r="AK95">
        <f t="shared" si="5"/>
        <v>0</v>
      </c>
      <c r="AL95" t="s">
        <v>35</v>
      </c>
      <c r="AM95">
        <v>0.19</v>
      </c>
    </row>
    <row r="96" spans="1:39" x14ac:dyDescent="0.25">
      <c r="A96" s="3" t="s">
        <v>26</v>
      </c>
      <c r="B96" t="s">
        <v>83</v>
      </c>
      <c r="C96">
        <v>200</v>
      </c>
      <c r="D96" t="s">
        <v>35</v>
      </c>
      <c r="E96" t="s">
        <v>35</v>
      </c>
      <c r="F96">
        <v>0.48209999999999997</v>
      </c>
      <c r="G96">
        <v>6.54E-2</v>
      </c>
      <c r="H96">
        <v>7.7000000000000002E-3</v>
      </c>
      <c r="I96">
        <v>8.9999999999999998E-4</v>
      </c>
      <c r="J96">
        <v>0.44390000000000002</v>
      </c>
      <c r="K96">
        <v>0.17710000000000001</v>
      </c>
      <c r="L96">
        <v>7.7799999999999994E-2</v>
      </c>
      <c r="M96">
        <v>3.0700000000000002E-2</v>
      </c>
      <c r="N96">
        <v>0.79220000000000002</v>
      </c>
      <c r="O96">
        <v>200</v>
      </c>
      <c r="P96">
        <v>0.67620000000000002</v>
      </c>
      <c r="Q96" t="s">
        <v>35</v>
      </c>
      <c r="R96" t="s">
        <v>35</v>
      </c>
      <c r="S96" t="s">
        <v>35</v>
      </c>
      <c r="T96" t="s">
        <v>35</v>
      </c>
      <c r="U96" t="s">
        <v>35</v>
      </c>
      <c r="V96">
        <v>1</v>
      </c>
      <c r="W96">
        <v>0.02</v>
      </c>
      <c r="X96">
        <v>0.96</v>
      </c>
      <c r="Y96">
        <v>0</v>
      </c>
      <c r="Z96">
        <v>0.02</v>
      </c>
      <c r="AA96">
        <v>0</v>
      </c>
      <c r="AB96">
        <v>1.512E-2</v>
      </c>
      <c r="AC96">
        <v>20</v>
      </c>
      <c r="AD96">
        <v>950</v>
      </c>
      <c r="AE96">
        <v>3</v>
      </c>
      <c r="AF96">
        <v>1</v>
      </c>
      <c r="AG96">
        <v>0.45600000000000002</v>
      </c>
      <c r="AH96">
        <v>0.36199999999999999</v>
      </c>
      <c r="AI96">
        <v>0.123</v>
      </c>
      <c r="AJ96">
        <v>5.8999999999999997E-2</v>
      </c>
      <c r="AK96">
        <f t="shared" si="5"/>
        <v>0</v>
      </c>
      <c r="AL96" t="s">
        <v>35</v>
      </c>
      <c r="AM96">
        <v>0.27</v>
      </c>
    </row>
    <row r="97" spans="1:39" x14ac:dyDescent="0.25">
      <c r="A97" s="3" t="s">
        <v>26</v>
      </c>
      <c r="B97" t="s">
        <v>84</v>
      </c>
      <c r="C97">
        <v>200</v>
      </c>
      <c r="D97" t="s">
        <v>35</v>
      </c>
      <c r="E97" t="s">
        <v>35</v>
      </c>
      <c r="F97">
        <v>0.48209999999999997</v>
      </c>
      <c r="G97">
        <v>6.54E-2</v>
      </c>
      <c r="H97">
        <v>7.7000000000000002E-3</v>
      </c>
      <c r="I97">
        <v>8.9999999999999998E-4</v>
      </c>
      <c r="J97">
        <v>0.44390000000000002</v>
      </c>
      <c r="K97">
        <v>0.17710000000000001</v>
      </c>
      <c r="L97">
        <v>7.7799999999999994E-2</v>
      </c>
      <c r="M97">
        <v>3.0700000000000002E-2</v>
      </c>
      <c r="N97">
        <v>0.79220000000000002</v>
      </c>
      <c r="O97">
        <v>200</v>
      </c>
      <c r="P97">
        <v>0.67620000000000002</v>
      </c>
      <c r="Q97" t="s">
        <v>35</v>
      </c>
      <c r="R97" t="s">
        <v>35</v>
      </c>
      <c r="S97" t="s">
        <v>35</v>
      </c>
      <c r="T97" t="s">
        <v>35</v>
      </c>
      <c r="U97" t="s">
        <v>35</v>
      </c>
      <c r="V97">
        <v>1</v>
      </c>
      <c r="W97">
        <v>0.02</v>
      </c>
      <c r="X97">
        <v>0.96</v>
      </c>
      <c r="Y97">
        <v>0</v>
      </c>
      <c r="Z97">
        <v>0.02</v>
      </c>
      <c r="AA97">
        <v>0</v>
      </c>
      <c r="AB97">
        <v>1.512E-2</v>
      </c>
      <c r="AC97">
        <v>20</v>
      </c>
      <c r="AD97">
        <v>950</v>
      </c>
      <c r="AE97">
        <v>5</v>
      </c>
      <c r="AF97">
        <v>1</v>
      </c>
      <c r="AG97">
        <v>0.45600000000000002</v>
      </c>
      <c r="AH97">
        <v>0.36199999999999999</v>
      </c>
      <c r="AI97">
        <v>0.123</v>
      </c>
      <c r="AJ97">
        <v>5.8999999999999997E-2</v>
      </c>
      <c r="AK97">
        <f t="shared" si="5"/>
        <v>0</v>
      </c>
      <c r="AL97" t="s">
        <v>35</v>
      </c>
      <c r="AM97">
        <v>0.4</v>
      </c>
    </row>
    <row r="98" spans="1:39" x14ac:dyDescent="0.25">
      <c r="A98" s="3" t="s">
        <v>26</v>
      </c>
      <c r="B98" t="s">
        <v>85</v>
      </c>
      <c r="C98">
        <v>200</v>
      </c>
      <c r="D98" t="s">
        <v>35</v>
      </c>
      <c r="E98" t="s">
        <v>35</v>
      </c>
      <c r="F98">
        <v>0.48209999999999997</v>
      </c>
      <c r="G98">
        <v>6.54E-2</v>
      </c>
      <c r="H98">
        <v>7.7000000000000002E-3</v>
      </c>
      <c r="I98">
        <v>8.9999999999999998E-4</v>
      </c>
      <c r="J98">
        <v>0.44390000000000002</v>
      </c>
      <c r="K98">
        <v>0.17710000000000001</v>
      </c>
      <c r="L98">
        <v>7.7799999999999994E-2</v>
      </c>
      <c r="M98">
        <v>3.0700000000000002E-2</v>
      </c>
      <c r="N98">
        <v>0.79220000000000002</v>
      </c>
      <c r="O98">
        <v>200</v>
      </c>
      <c r="P98">
        <v>0.67620000000000002</v>
      </c>
      <c r="Q98" t="s">
        <v>35</v>
      </c>
      <c r="R98" t="s">
        <v>35</v>
      </c>
      <c r="S98" t="s">
        <v>35</v>
      </c>
      <c r="T98" t="s">
        <v>35</v>
      </c>
      <c r="U98" t="s">
        <v>35</v>
      </c>
      <c r="V98">
        <v>1</v>
      </c>
      <c r="W98">
        <v>0.02</v>
      </c>
      <c r="X98">
        <v>0.96</v>
      </c>
      <c r="Y98">
        <v>0</v>
      </c>
      <c r="Z98">
        <v>0.02</v>
      </c>
      <c r="AA98">
        <v>0</v>
      </c>
      <c r="AB98">
        <v>1.512E-2</v>
      </c>
      <c r="AC98">
        <v>20</v>
      </c>
      <c r="AD98">
        <v>950</v>
      </c>
      <c r="AE98">
        <v>10</v>
      </c>
      <c r="AF98">
        <v>1</v>
      </c>
      <c r="AG98">
        <v>0.45600000000000002</v>
      </c>
      <c r="AH98">
        <v>0.36199999999999999</v>
      </c>
      <c r="AI98">
        <v>0.123</v>
      </c>
      <c r="AJ98">
        <v>5.8999999999999997E-2</v>
      </c>
      <c r="AK98">
        <f t="shared" si="5"/>
        <v>0</v>
      </c>
      <c r="AL98" t="s">
        <v>35</v>
      </c>
      <c r="AM98">
        <v>0.68</v>
      </c>
    </row>
    <row r="99" spans="1:39" x14ac:dyDescent="0.25">
      <c r="A99" s="3" t="s">
        <v>26</v>
      </c>
      <c r="B99" t="s">
        <v>86</v>
      </c>
      <c r="C99">
        <v>200</v>
      </c>
      <c r="D99" t="s">
        <v>35</v>
      </c>
      <c r="E99" t="s">
        <v>35</v>
      </c>
      <c r="F99">
        <v>0.48209999999999997</v>
      </c>
      <c r="G99">
        <v>6.54E-2</v>
      </c>
      <c r="H99">
        <v>7.7000000000000002E-3</v>
      </c>
      <c r="I99">
        <v>8.9999999999999998E-4</v>
      </c>
      <c r="J99">
        <v>0.44390000000000002</v>
      </c>
      <c r="K99">
        <v>0.17710000000000001</v>
      </c>
      <c r="L99">
        <v>7.7799999999999994E-2</v>
      </c>
      <c r="M99">
        <v>3.0700000000000002E-2</v>
      </c>
      <c r="N99">
        <v>0.79220000000000002</v>
      </c>
      <c r="O99">
        <v>200</v>
      </c>
      <c r="P99">
        <v>0.67620000000000002</v>
      </c>
      <c r="Q99" t="s">
        <v>35</v>
      </c>
      <c r="R99" t="s">
        <v>35</v>
      </c>
      <c r="S99" t="s">
        <v>35</v>
      </c>
      <c r="T99" t="s">
        <v>35</v>
      </c>
      <c r="U99" t="s">
        <v>35</v>
      </c>
      <c r="V99">
        <v>1</v>
      </c>
      <c r="W99">
        <v>0.02</v>
      </c>
      <c r="X99">
        <v>0.96</v>
      </c>
      <c r="Y99">
        <v>0</v>
      </c>
      <c r="Z99">
        <v>0.02</v>
      </c>
      <c r="AA99">
        <v>0</v>
      </c>
      <c r="AB99">
        <v>1.512E-2</v>
      </c>
      <c r="AC99">
        <v>20</v>
      </c>
      <c r="AD99">
        <v>950</v>
      </c>
      <c r="AE99">
        <v>15</v>
      </c>
      <c r="AF99">
        <v>1</v>
      </c>
      <c r="AG99">
        <v>0.45600000000000002</v>
      </c>
      <c r="AH99">
        <v>0.36199999999999999</v>
      </c>
      <c r="AI99">
        <v>0.123</v>
      </c>
      <c r="AJ99">
        <v>5.8999999999999997E-2</v>
      </c>
      <c r="AK99">
        <f t="shared" si="5"/>
        <v>0</v>
      </c>
      <c r="AL99" t="s">
        <v>35</v>
      </c>
      <c r="AM99">
        <v>0.84</v>
      </c>
    </row>
    <row r="100" spans="1:39" x14ac:dyDescent="0.25">
      <c r="A100" s="3" t="s">
        <v>26</v>
      </c>
      <c r="B100" t="s">
        <v>87</v>
      </c>
      <c r="C100">
        <v>200</v>
      </c>
      <c r="D100" t="s">
        <v>35</v>
      </c>
      <c r="E100" t="s">
        <v>35</v>
      </c>
      <c r="F100">
        <v>0.48209999999999997</v>
      </c>
      <c r="G100">
        <v>6.54E-2</v>
      </c>
      <c r="H100">
        <v>7.7000000000000002E-3</v>
      </c>
      <c r="I100">
        <v>8.9999999999999998E-4</v>
      </c>
      <c r="J100">
        <v>0.44390000000000002</v>
      </c>
      <c r="K100">
        <v>0.17710000000000001</v>
      </c>
      <c r="L100">
        <v>7.7799999999999994E-2</v>
      </c>
      <c r="M100">
        <v>3.0700000000000002E-2</v>
      </c>
      <c r="N100">
        <v>0.79220000000000002</v>
      </c>
      <c r="O100">
        <v>200</v>
      </c>
      <c r="P100">
        <v>0.67620000000000002</v>
      </c>
      <c r="Q100" t="s">
        <v>35</v>
      </c>
      <c r="R100" t="s">
        <v>35</v>
      </c>
      <c r="S100" t="s">
        <v>35</v>
      </c>
      <c r="T100" t="s">
        <v>35</v>
      </c>
      <c r="U100" t="s">
        <v>35</v>
      </c>
      <c r="V100">
        <v>1</v>
      </c>
      <c r="W100">
        <v>0.02</v>
      </c>
      <c r="X100">
        <v>0.96</v>
      </c>
      <c r="Y100">
        <v>0</v>
      </c>
      <c r="Z100">
        <v>0.02</v>
      </c>
      <c r="AA100">
        <v>0</v>
      </c>
      <c r="AB100">
        <v>1.512E-2</v>
      </c>
      <c r="AC100">
        <v>20</v>
      </c>
      <c r="AD100">
        <v>950</v>
      </c>
      <c r="AE100">
        <v>20</v>
      </c>
      <c r="AF100">
        <v>1</v>
      </c>
      <c r="AG100">
        <v>0.45600000000000002</v>
      </c>
      <c r="AH100">
        <v>0.36199999999999999</v>
      </c>
      <c r="AI100">
        <v>0.123</v>
      </c>
      <c r="AJ100">
        <v>5.8999999999999997E-2</v>
      </c>
      <c r="AK100">
        <f t="shared" si="5"/>
        <v>0</v>
      </c>
      <c r="AL100" t="s">
        <v>35</v>
      </c>
      <c r="AM100">
        <v>0.93</v>
      </c>
    </row>
    <row r="101" spans="1:39" x14ac:dyDescent="0.25">
      <c r="A101" s="3" t="s">
        <v>26</v>
      </c>
      <c r="B101" t="s">
        <v>89</v>
      </c>
      <c r="C101">
        <v>200</v>
      </c>
      <c r="D101" t="s">
        <v>35</v>
      </c>
      <c r="E101" t="s">
        <v>35</v>
      </c>
      <c r="F101">
        <v>0.48209999999999997</v>
      </c>
      <c r="G101">
        <v>6.54E-2</v>
      </c>
      <c r="H101">
        <v>7.7000000000000002E-3</v>
      </c>
      <c r="I101">
        <v>8.9999999999999998E-4</v>
      </c>
      <c r="J101">
        <v>0.44390000000000002</v>
      </c>
      <c r="K101">
        <v>0.17710000000000001</v>
      </c>
      <c r="L101">
        <v>7.7799999999999994E-2</v>
      </c>
      <c r="M101">
        <v>3.0700000000000002E-2</v>
      </c>
      <c r="N101">
        <v>0.79220000000000002</v>
      </c>
      <c r="O101">
        <v>200</v>
      </c>
      <c r="P101">
        <v>0.67620000000000002</v>
      </c>
      <c r="Q101" t="s">
        <v>35</v>
      </c>
      <c r="R101" t="s">
        <v>35</v>
      </c>
      <c r="S101" t="s">
        <v>35</v>
      </c>
      <c r="T101" t="s">
        <v>35</v>
      </c>
      <c r="U101" t="s">
        <v>35</v>
      </c>
      <c r="V101">
        <v>1</v>
      </c>
      <c r="W101">
        <v>0.02</v>
      </c>
      <c r="X101">
        <v>0.96</v>
      </c>
      <c r="Y101">
        <v>0</v>
      </c>
      <c r="Z101">
        <v>0.02</v>
      </c>
      <c r="AA101">
        <v>0</v>
      </c>
      <c r="AB101">
        <v>1.512E-2</v>
      </c>
      <c r="AC101">
        <v>20</v>
      </c>
      <c r="AD101">
        <v>1000</v>
      </c>
      <c r="AE101">
        <v>1</v>
      </c>
      <c r="AF101">
        <v>1</v>
      </c>
      <c r="AG101">
        <v>0.45600000000000002</v>
      </c>
      <c r="AH101">
        <v>0.36199999999999999</v>
      </c>
      <c r="AI101">
        <v>0.123</v>
      </c>
      <c r="AJ101">
        <v>5.8999999999999997E-2</v>
      </c>
      <c r="AK101">
        <f t="shared" si="5"/>
        <v>0</v>
      </c>
      <c r="AL101" t="s">
        <v>35</v>
      </c>
      <c r="AM101">
        <v>0.08</v>
      </c>
    </row>
    <row r="102" spans="1:39" x14ac:dyDescent="0.25">
      <c r="A102" s="3" t="s">
        <v>26</v>
      </c>
      <c r="B102" t="s">
        <v>90</v>
      </c>
      <c r="C102">
        <v>200</v>
      </c>
      <c r="D102" t="s">
        <v>35</v>
      </c>
      <c r="E102" t="s">
        <v>35</v>
      </c>
      <c r="F102">
        <v>0.48209999999999997</v>
      </c>
      <c r="G102">
        <v>6.54E-2</v>
      </c>
      <c r="H102">
        <v>7.7000000000000002E-3</v>
      </c>
      <c r="I102">
        <v>8.9999999999999998E-4</v>
      </c>
      <c r="J102">
        <v>0.44390000000000002</v>
      </c>
      <c r="K102">
        <v>0.17710000000000001</v>
      </c>
      <c r="L102">
        <v>7.7799999999999994E-2</v>
      </c>
      <c r="M102">
        <v>3.0700000000000002E-2</v>
      </c>
      <c r="N102">
        <v>0.79220000000000002</v>
      </c>
      <c r="O102">
        <v>200</v>
      </c>
      <c r="P102">
        <v>0.67620000000000002</v>
      </c>
      <c r="Q102" t="s">
        <v>35</v>
      </c>
      <c r="R102" t="s">
        <v>35</v>
      </c>
      <c r="S102" t="s">
        <v>35</v>
      </c>
      <c r="T102" t="s">
        <v>35</v>
      </c>
      <c r="U102" t="s">
        <v>35</v>
      </c>
      <c r="V102">
        <v>1</v>
      </c>
      <c r="W102">
        <v>0.02</v>
      </c>
      <c r="X102">
        <v>0.96</v>
      </c>
      <c r="Y102">
        <v>0</v>
      </c>
      <c r="Z102">
        <v>0.02</v>
      </c>
      <c r="AA102">
        <v>0</v>
      </c>
      <c r="AB102">
        <v>1.512E-2</v>
      </c>
      <c r="AC102">
        <v>20</v>
      </c>
      <c r="AD102">
        <v>1000</v>
      </c>
      <c r="AE102">
        <v>2</v>
      </c>
      <c r="AF102">
        <v>1</v>
      </c>
      <c r="AG102">
        <v>0.45600000000000002</v>
      </c>
      <c r="AH102">
        <v>0.36199999999999999</v>
      </c>
      <c r="AI102">
        <v>0.123</v>
      </c>
      <c r="AJ102">
        <v>5.8999999999999997E-2</v>
      </c>
      <c r="AK102">
        <f t="shared" si="5"/>
        <v>0</v>
      </c>
      <c r="AL102" t="s">
        <v>35</v>
      </c>
      <c r="AM102">
        <v>0.15</v>
      </c>
    </row>
    <row r="103" spans="1:39" x14ac:dyDescent="0.25">
      <c r="A103" s="3" t="s">
        <v>26</v>
      </c>
      <c r="B103" t="s">
        <v>91</v>
      </c>
      <c r="C103">
        <v>200</v>
      </c>
      <c r="D103" t="s">
        <v>35</v>
      </c>
      <c r="E103" t="s">
        <v>35</v>
      </c>
      <c r="F103">
        <v>0.48209999999999997</v>
      </c>
      <c r="G103">
        <v>6.54E-2</v>
      </c>
      <c r="H103">
        <v>7.7000000000000002E-3</v>
      </c>
      <c r="I103">
        <v>8.9999999999999998E-4</v>
      </c>
      <c r="J103">
        <v>0.44390000000000002</v>
      </c>
      <c r="K103">
        <v>0.17710000000000001</v>
      </c>
      <c r="L103">
        <v>7.7799999999999994E-2</v>
      </c>
      <c r="M103">
        <v>3.0700000000000002E-2</v>
      </c>
      <c r="N103">
        <v>0.79220000000000002</v>
      </c>
      <c r="O103">
        <v>200</v>
      </c>
      <c r="P103">
        <v>0.67620000000000002</v>
      </c>
      <c r="Q103" t="s">
        <v>35</v>
      </c>
      <c r="R103" t="s">
        <v>35</v>
      </c>
      <c r="S103" t="s">
        <v>35</v>
      </c>
      <c r="T103" t="s">
        <v>35</v>
      </c>
      <c r="U103" t="s">
        <v>35</v>
      </c>
      <c r="V103">
        <v>1</v>
      </c>
      <c r="W103">
        <v>0.02</v>
      </c>
      <c r="X103">
        <v>0.96</v>
      </c>
      <c r="Y103">
        <v>0</v>
      </c>
      <c r="Z103">
        <v>0.02</v>
      </c>
      <c r="AA103">
        <v>0</v>
      </c>
      <c r="AB103">
        <v>1.512E-2</v>
      </c>
      <c r="AC103">
        <v>20</v>
      </c>
      <c r="AD103">
        <v>1000</v>
      </c>
      <c r="AE103">
        <v>2.5</v>
      </c>
      <c r="AF103">
        <v>1</v>
      </c>
      <c r="AG103">
        <v>0.45600000000000002</v>
      </c>
      <c r="AH103">
        <v>0.36199999999999999</v>
      </c>
      <c r="AI103">
        <v>0.123</v>
      </c>
      <c r="AJ103">
        <v>5.8999999999999997E-2</v>
      </c>
      <c r="AK103">
        <f t="shared" si="5"/>
        <v>0</v>
      </c>
      <c r="AL103" t="s">
        <v>35</v>
      </c>
      <c r="AM103">
        <v>0.25</v>
      </c>
    </row>
    <row r="104" spans="1:39" x14ac:dyDescent="0.25">
      <c r="A104" s="3" t="s">
        <v>26</v>
      </c>
      <c r="B104" t="s">
        <v>92</v>
      </c>
      <c r="C104">
        <v>200</v>
      </c>
      <c r="D104" t="s">
        <v>35</v>
      </c>
      <c r="E104" t="s">
        <v>35</v>
      </c>
      <c r="F104">
        <v>0.48209999999999997</v>
      </c>
      <c r="G104">
        <v>6.54E-2</v>
      </c>
      <c r="H104">
        <v>7.7000000000000002E-3</v>
      </c>
      <c r="I104">
        <v>8.9999999999999998E-4</v>
      </c>
      <c r="J104">
        <v>0.44390000000000002</v>
      </c>
      <c r="K104">
        <v>0.17710000000000001</v>
      </c>
      <c r="L104">
        <v>7.7799999999999994E-2</v>
      </c>
      <c r="M104">
        <v>3.0700000000000002E-2</v>
      </c>
      <c r="N104">
        <v>0.79220000000000002</v>
      </c>
      <c r="O104">
        <v>200</v>
      </c>
      <c r="P104">
        <v>0.67620000000000002</v>
      </c>
      <c r="Q104" t="s">
        <v>35</v>
      </c>
      <c r="R104" t="s">
        <v>35</v>
      </c>
      <c r="S104" t="s">
        <v>35</v>
      </c>
      <c r="T104" t="s">
        <v>35</v>
      </c>
      <c r="U104" t="s">
        <v>35</v>
      </c>
      <c r="V104">
        <v>1</v>
      </c>
      <c r="W104">
        <v>0.02</v>
      </c>
      <c r="X104">
        <v>0.96</v>
      </c>
      <c r="Y104">
        <v>0</v>
      </c>
      <c r="Z104">
        <v>0.02</v>
      </c>
      <c r="AA104">
        <v>0</v>
      </c>
      <c r="AB104">
        <v>1.512E-2</v>
      </c>
      <c r="AC104">
        <v>20</v>
      </c>
      <c r="AD104">
        <v>1000</v>
      </c>
      <c r="AE104">
        <v>3</v>
      </c>
      <c r="AF104">
        <v>1</v>
      </c>
      <c r="AG104">
        <v>0.45600000000000002</v>
      </c>
      <c r="AH104">
        <v>0.36199999999999999</v>
      </c>
      <c r="AI104">
        <v>0.123</v>
      </c>
      <c r="AJ104">
        <v>5.8999999999999997E-2</v>
      </c>
      <c r="AK104">
        <f t="shared" si="5"/>
        <v>0</v>
      </c>
      <c r="AL104" t="s">
        <v>35</v>
      </c>
      <c r="AM104">
        <v>0.37</v>
      </c>
    </row>
    <row r="105" spans="1:39" x14ac:dyDescent="0.25">
      <c r="A105" s="3" t="s">
        <v>26</v>
      </c>
      <c r="B105" t="s">
        <v>93</v>
      </c>
      <c r="C105">
        <v>200</v>
      </c>
      <c r="D105" t="s">
        <v>35</v>
      </c>
      <c r="E105" t="s">
        <v>35</v>
      </c>
      <c r="F105">
        <v>0.48209999999999997</v>
      </c>
      <c r="G105">
        <v>6.54E-2</v>
      </c>
      <c r="H105">
        <v>7.7000000000000002E-3</v>
      </c>
      <c r="I105">
        <v>8.9999999999999998E-4</v>
      </c>
      <c r="J105">
        <v>0.44390000000000002</v>
      </c>
      <c r="K105">
        <v>0.17710000000000001</v>
      </c>
      <c r="L105">
        <v>7.7799999999999994E-2</v>
      </c>
      <c r="M105">
        <v>3.0700000000000002E-2</v>
      </c>
      <c r="N105">
        <v>0.79220000000000002</v>
      </c>
      <c r="O105">
        <v>200</v>
      </c>
      <c r="P105">
        <v>0.67620000000000002</v>
      </c>
      <c r="Q105" t="s">
        <v>35</v>
      </c>
      <c r="R105" t="s">
        <v>35</v>
      </c>
      <c r="S105" t="s">
        <v>35</v>
      </c>
      <c r="T105" t="s">
        <v>35</v>
      </c>
      <c r="U105" t="s">
        <v>35</v>
      </c>
      <c r="V105">
        <v>1</v>
      </c>
      <c r="W105">
        <v>0.02</v>
      </c>
      <c r="X105">
        <v>0.96</v>
      </c>
      <c r="Y105">
        <v>0</v>
      </c>
      <c r="Z105">
        <v>0.02</v>
      </c>
      <c r="AA105">
        <v>0</v>
      </c>
      <c r="AB105">
        <v>1.512E-2</v>
      </c>
      <c r="AC105">
        <v>20</v>
      </c>
      <c r="AD105">
        <v>1000</v>
      </c>
      <c r="AE105">
        <v>5</v>
      </c>
      <c r="AF105">
        <v>1</v>
      </c>
      <c r="AG105">
        <v>0.45600000000000002</v>
      </c>
      <c r="AH105">
        <v>0.36199999999999999</v>
      </c>
      <c r="AI105">
        <v>0.123</v>
      </c>
      <c r="AJ105">
        <v>5.8999999999999997E-2</v>
      </c>
      <c r="AK105">
        <f t="shared" si="5"/>
        <v>0</v>
      </c>
      <c r="AL105" t="s">
        <v>35</v>
      </c>
      <c r="AM105">
        <v>0.54</v>
      </c>
    </row>
    <row r="106" spans="1:39" x14ac:dyDescent="0.25">
      <c r="A106" s="3" t="s">
        <v>26</v>
      </c>
      <c r="B106" t="s">
        <v>94</v>
      </c>
      <c r="C106">
        <v>200</v>
      </c>
      <c r="D106" t="s">
        <v>35</v>
      </c>
      <c r="E106" t="s">
        <v>35</v>
      </c>
      <c r="F106">
        <v>0.48209999999999997</v>
      </c>
      <c r="G106">
        <v>6.54E-2</v>
      </c>
      <c r="H106">
        <v>7.7000000000000002E-3</v>
      </c>
      <c r="I106">
        <v>8.9999999999999998E-4</v>
      </c>
      <c r="J106">
        <v>0.44390000000000002</v>
      </c>
      <c r="K106">
        <v>0.17710000000000001</v>
      </c>
      <c r="L106">
        <v>7.7799999999999994E-2</v>
      </c>
      <c r="M106">
        <v>3.0700000000000002E-2</v>
      </c>
      <c r="N106">
        <v>0.79220000000000002</v>
      </c>
      <c r="O106">
        <v>200</v>
      </c>
      <c r="P106">
        <v>0.67620000000000002</v>
      </c>
      <c r="Q106" t="s">
        <v>35</v>
      </c>
      <c r="R106" t="s">
        <v>35</v>
      </c>
      <c r="S106" t="s">
        <v>35</v>
      </c>
      <c r="T106" t="s">
        <v>35</v>
      </c>
      <c r="U106" t="s">
        <v>35</v>
      </c>
      <c r="V106">
        <v>1</v>
      </c>
      <c r="W106">
        <v>0.02</v>
      </c>
      <c r="X106">
        <v>0.96</v>
      </c>
      <c r="Y106">
        <v>0</v>
      </c>
      <c r="Z106">
        <v>0.02</v>
      </c>
      <c r="AA106">
        <v>0</v>
      </c>
      <c r="AB106">
        <v>1.512E-2</v>
      </c>
      <c r="AC106">
        <v>20</v>
      </c>
      <c r="AD106">
        <v>1000</v>
      </c>
      <c r="AE106">
        <v>10</v>
      </c>
      <c r="AF106">
        <v>1</v>
      </c>
      <c r="AG106">
        <v>0.45600000000000002</v>
      </c>
      <c r="AH106">
        <v>0.36199999999999999</v>
      </c>
      <c r="AI106">
        <v>0.123</v>
      </c>
      <c r="AJ106">
        <v>5.8999999999999997E-2</v>
      </c>
      <c r="AK106">
        <f t="shared" si="5"/>
        <v>0</v>
      </c>
      <c r="AL106" t="s">
        <v>35</v>
      </c>
      <c r="AM106">
        <v>0.82</v>
      </c>
    </row>
    <row r="107" spans="1:39" x14ac:dyDescent="0.25">
      <c r="A107" s="3" t="s">
        <v>26</v>
      </c>
      <c r="B107" t="s">
        <v>95</v>
      </c>
      <c r="C107">
        <v>200</v>
      </c>
      <c r="D107" t="s">
        <v>35</v>
      </c>
      <c r="E107" t="s">
        <v>35</v>
      </c>
      <c r="F107">
        <v>0.48209999999999997</v>
      </c>
      <c r="G107">
        <v>6.54E-2</v>
      </c>
      <c r="H107">
        <v>7.7000000000000002E-3</v>
      </c>
      <c r="I107">
        <v>8.9999999999999998E-4</v>
      </c>
      <c r="J107">
        <v>0.44390000000000002</v>
      </c>
      <c r="K107">
        <v>0.17710000000000001</v>
      </c>
      <c r="L107">
        <v>7.7799999999999994E-2</v>
      </c>
      <c r="M107">
        <v>3.0700000000000002E-2</v>
      </c>
      <c r="N107">
        <v>0.79220000000000002</v>
      </c>
      <c r="O107">
        <v>200</v>
      </c>
      <c r="P107">
        <v>0.67620000000000002</v>
      </c>
      <c r="Q107" t="s">
        <v>35</v>
      </c>
      <c r="R107" t="s">
        <v>35</v>
      </c>
      <c r="S107" t="s">
        <v>35</v>
      </c>
      <c r="T107" t="s">
        <v>35</v>
      </c>
      <c r="U107" t="s">
        <v>35</v>
      </c>
      <c r="V107">
        <v>1</v>
      </c>
      <c r="W107">
        <v>0.02</v>
      </c>
      <c r="X107">
        <v>0.96</v>
      </c>
      <c r="Y107">
        <v>0</v>
      </c>
      <c r="Z107">
        <v>0.02</v>
      </c>
      <c r="AA107">
        <v>0</v>
      </c>
      <c r="AB107">
        <v>1.512E-2</v>
      </c>
      <c r="AC107">
        <v>20</v>
      </c>
      <c r="AD107">
        <v>1000</v>
      </c>
      <c r="AE107">
        <v>15</v>
      </c>
      <c r="AF107">
        <v>1</v>
      </c>
      <c r="AG107">
        <v>0.45600000000000002</v>
      </c>
      <c r="AH107">
        <v>0.36199999999999999</v>
      </c>
      <c r="AI107">
        <v>0.123</v>
      </c>
      <c r="AJ107">
        <v>5.8999999999999997E-2</v>
      </c>
      <c r="AK107">
        <f t="shared" si="5"/>
        <v>0</v>
      </c>
      <c r="AL107" t="s">
        <v>35</v>
      </c>
      <c r="AM107">
        <v>0.95</v>
      </c>
    </row>
    <row r="108" spans="1:39" x14ac:dyDescent="0.25">
      <c r="A108" s="3" t="s">
        <v>26</v>
      </c>
      <c r="B108" t="s">
        <v>96</v>
      </c>
      <c r="C108">
        <v>200</v>
      </c>
      <c r="D108" t="s">
        <v>35</v>
      </c>
      <c r="E108" t="s">
        <v>35</v>
      </c>
      <c r="F108">
        <v>0.48209999999999997</v>
      </c>
      <c r="G108">
        <v>6.54E-2</v>
      </c>
      <c r="H108">
        <v>7.7000000000000002E-3</v>
      </c>
      <c r="I108">
        <v>8.9999999999999998E-4</v>
      </c>
      <c r="J108">
        <v>0.44390000000000002</v>
      </c>
      <c r="K108">
        <v>0.17710000000000001</v>
      </c>
      <c r="L108">
        <v>7.7799999999999994E-2</v>
      </c>
      <c r="M108">
        <v>3.0700000000000002E-2</v>
      </c>
      <c r="N108">
        <v>0.79220000000000002</v>
      </c>
      <c r="O108">
        <v>200</v>
      </c>
      <c r="P108">
        <v>0.67620000000000002</v>
      </c>
      <c r="Q108" t="s">
        <v>35</v>
      </c>
      <c r="R108" t="s">
        <v>35</v>
      </c>
      <c r="S108" t="s">
        <v>35</v>
      </c>
      <c r="T108" t="s">
        <v>35</v>
      </c>
      <c r="U108" t="s">
        <v>35</v>
      </c>
      <c r="V108">
        <v>1</v>
      </c>
      <c r="W108">
        <v>0.02</v>
      </c>
      <c r="X108">
        <v>0.96</v>
      </c>
      <c r="Y108">
        <v>0</v>
      </c>
      <c r="Z108">
        <v>0.02</v>
      </c>
      <c r="AA108">
        <v>0</v>
      </c>
      <c r="AB108">
        <v>1.512E-2</v>
      </c>
      <c r="AC108">
        <v>20</v>
      </c>
      <c r="AD108">
        <v>1000</v>
      </c>
      <c r="AE108">
        <v>20</v>
      </c>
      <c r="AF108">
        <v>1</v>
      </c>
      <c r="AG108">
        <v>0.45600000000000002</v>
      </c>
      <c r="AH108">
        <v>0.36199999999999999</v>
      </c>
      <c r="AI108">
        <v>0.123</v>
      </c>
      <c r="AJ108">
        <v>5.8999999999999997E-2</v>
      </c>
      <c r="AK108">
        <f t="shared" si="5"/>
        <v>0</v>
      </c>
      <c r="AL108" t="s">
        <v>35</v>
      </c>
      <c r="AM108">
        <v>1</v>
      </c>
    </row>
    <row r="109" spans="1:39" x14ac:dyDescent="0.25">
      <c r="A109" s="3" t="s">
        <v>26</v>
      </c>
      <c r="B109" t="s">
        <v>98</v>
      </c>
      <c r="C109">
        <v>200</v>
      </c>
      <c r="D109" t="s">
        <v>35</v>
      </c>
      <c r="E109" t="s">
        <v>35</v>
      </c>
      <c r="F109">
        <v>0.48209999999999997</v>
      </c>
      <c r="G109">
        <v>6.54E-2</v>
      </c>
      <c r="H109">
        <v>7.7000000000000002E-3</v>
      </c>
      <c r="I109">
        <v>8.9999999999999998E-4</v>
      </c>
      <c r="J109">
        <v>0.44390000000000002</v>
      </c>
      <c r="K109">
        <v>0.17710000000000001</v>
      </c>
      <c r="L109">
        <v>7.7799999999999994E-2</v>
      </c>
      <c r="M109">
        <v>3.0700000000000002E-2</v>
      </c>
      <c r="N109">
        <v>0.79220000000000002</v>
      </c>
      <c r="O109">
        <v>200</v>
      </c>
      <c r="P109">
        <v>0.67620000000000002</v>
      </c>
      <c r="Q109" t="s">
        <v>35</v>
      </c>
      <c r="R109" t="s">
        <v>35</v>
      </c>
      <c r="S109" t="s">
        <v>35</v>
      </c>
      <c r="T109" t="s">
        <v>35</v>
      </c>
      <c r="U109" t="s">
        <v>35</v>
      </c>
      <c r="V109">
        <v>1</v>
      </c>
      <c r="W109">
        <v>0.02</v>
      </c>
      <c r="X109">
        <v>0.96</v>
      </c>
      <c r="Y109">
        <v>0</v>
      </c>
      <c r="Z109">
        <v>0.02</v>
      </c>
      <c r="AA109">
        <v>0</v>
      </c>
      <c r="AB109">
        <v>1.512E-2</v>
      </c>
      <c r="AC109">
        <v>20</v>
      </c>
      <c r="AD109">
        <v>1050</v>
      </c>
      <c r="AE109">
        <v>1</v>
      </c>
      <c r="AF109">
        <v>1</v>
      </c>
      <c r="AG109">
        <v>0.45600000000000002</v>
      </c>
      <c r="AH109">
        <v>0.36199999999999999</v>
      </c>
      <c r="AI109">
        <v>0.123</v>
      </c>
      <c r="AJ109">
        <v>5.8999999999999997E-2</v>
      </c>
      <c r="AK109">
        <f t="shared" si="5"/>
        <v>0</v>
      </c>
      <c r="AL109" t="s">
        <v>35</v>
      </c>
      <c r="AM109">
        <v>0.09</v>
      </c>
    </row>
    <row r="110" spans="1:39" x14ac:dyDescent="0.25">
      <c r="A110" s="3" t="s">
        <v>26</v>
      </c>
      <c r="B110" t="s">
        <v>99</v>
      </c>
      <c r="C110">
        <v>200</v>
      </c>
      <c r="D110" t="s">
        <v>35</v>
      </c>
      <c r="E110" t="s">
        <v>35</v>
      </c>
      <c r="F110">
        <v>0.48209999999999997</v>
      </c>
      <c r="G110">
        <v>6.54E-2</v>
      </c>
      <c r="H110">
        <v>7.7000000000000002E-3</v>
      </c>
      <c r="I110">
        <v>8.9999999999999998E-4</v>
      </c>
      <c r="J110">
        <v>0.44390000000000002</v>
      </c>
      <c r="K110">
        <v>0.17710000000000001</v>
      </c>
      <c r="L110">
        <v>7.7799999999999994E-2</v>
      </c>
      <c r="M110">
        <v>3.0700000000000002E-2</v>
      </c>
      <c r="N110">
        <v>0.79220000000000002</v>
      </c>
      <c r="O110">
        <v>200</v>
      </c>
      <c r="P110">
        <v>0.67620000000000002</v>
      </c>
      <c r="Q110" t="s">
        <v>35</v>
      </c>
      <c r="R110" t="s">
        <v>35</v>
      </c>
      <c r="S110" t="s">
        <v>35</v>
      </c>
      <c r="T110" t="s">
        <v>35</v>
      </c>
      <c r="U110" t="s">
        <v>35</v>
      </c>
      <c r="V110">
        <v>1</v>
      </c>
      <c r="W110">
        <v>0.02</v>
      </c>
      <c r="X110">
        <v>0.96</v>
      </c>
      <c r="Y110">
        <v>0</v>
      </c>
      <c r="Z110">
        <v>0.02</v>
      </c>
      <c r="AA110">
        <v>0</v>
      </c>
      <c r="AB110">
        <v>1.512E-2</v>
      </c>
      <c r="AC110">
        <v>20</v>
      </c>
      <c r="AD110">
        <v>1050</v>
      </c>
      <c r="AE110">
        <v>2</v>
      </c>
      <c r="AF110">
        <v>1</v>
      </c>
      <c r="AG110">
        <v>0.45600000000000002</v>
      </c>
      <c r="AH110">
        <v>0.36199999999999999</v>
      </c>
      <c r="AI110">
        <v>0.123</v>
      </c>
      <c r="AJ110">
        <v>5.8999999999999997E-2</v>
      </c>
      <c r="AK110">
        <f t="shared" si="5"/>
        <v>0</v>
      </c>
      <c r="AL110" t="s">
        <v>35</v>
      </c>
      <c r="AM110">
        <v>0.16</v>
      </c>
    </row>
    <row r="111" spans="1:39" x14ac:dyDescent="0.25">
      <c r="A111" s="3" t="s">
        <v>26</v>
      </c>
      <c r="B111" t="s">
        <v>100</v>
      </c>
      <c r="C111">
        <v>200</v>
      </c>
      <c r="D111" t="s">
        <v>35</v>
      </c>
      <c r="E111" t="s">
        <v>35</v>
      </c>
      <c r="F111">
        <v>0.48209999999999997</v>
      </c>
      <c r="G111">
        <v>6.54E-2</v>
      </c>
      <c r="H111">
        <v>7.7000000000000002E-3</v>
      </c>
      <c r="I111">
        <v>8.9999999999999998E-4</v>
      </c>
      <c r="J111">
        <v>0.44390000000000002</v>
      </c>
      <c r="K111">
        <v>0.17710000000000001</v>
      </c>
      <c r="L111">
        <v>7.7799999999999994E-2</v>
      </c>
      <c r="M111">
        <v>3.0700000000000002E-2</v>
      </c>
      <c r="N111">
        <v>0.79220000000000002</v>
      </c>
      <c r="O111">
        <v>200</v>
      </c>
      <c r="P111">
        <v>0.67620000000000002</v>
      </c>
      <c r="Q111" t="s">
        <v>35</v>
      </c>
      <c r="R111" t="s">
        <v>35</v>
      </c>
      <c r="S111" t="s">
        <v>35</v>
      </c>
      <c r="T111" t="s">
        <v>35</v>
      </c>
      <c r="U111" t="s">
        <v>35</v>
      </c>
      <c r="V111">
        <v>1</v>
      </c>
      <c r="W111">
        <v>0.02</v>
      </c>
      <c r="X111">
        <v>0.96</v>
      </c>
      <c r="Y111">
        <v>0</v>
      </c>
      <c r="Z111">
        <v>0.02</v>
      </c>
      <c r="AA111">
        <v>0</v>
      </c>
      <c r="AB111">
        <v>1.512E-2</v>
      </c>
      <c r="AC111">
        <v>20</v>
      </c>
      <c r="AD111">
        <v>1050</v>
      </c>
      <c r="AE111">
        <v>2.5</v>
      </c>
      <c r="AF111">
        <v>1</v>
      </c>
      <c r="AG111">
        <v>0.45600000000000002</v>
      </c>
      <c r="AH111">
        <v>0.36199999999999999</v>
      </c>
      <c r="AI111">
        <v>0.123</v>
      </c>
      <c r="AJ111">
        <v>5.8999999999999997E-2</v>
      </c>
      <c r="AK111">
        <f t="shared" si="5"/>
        <v>0</v>
      </c>
      <c r="AL111" t="s">
        <v>35</v>
      </c>
      <c r="AM111">
        <v>0.3</v>
      </c>
    </row>
    <row r="112" spans="1:39" x14ac:dyDescent="0.25">
      <c r="A112" s="3" t="s">
        <v>26</v>
      </c>
      <c r="B112" t="s">
        <v>101</v>
      </c>
      <c r="C112">
        <v>200</v>
      </c>
      <c r="D112" t="s">
        <v>35</v>
      </c>
      <c r="E112" t="s">
        <v>35</v>
      </c>
      <c r="F112">
        <v>0.48209999999999997</v>
      </c>
      <c r="G112">
        <v>6.54E-2</v>
      </c>
      <c r="H112">
        <v>7.7000000000000002E-3</v>
      </c>
      <c r="I112">
        <v>8.9999999999999998E-4</v>
      </c>
      <c r="J112">
        <v>0.44390000000000002</v>
      </c>
      <c r="K112">
        <v>0.17710000000000001</v>
      </c>
      <c r="L112">
        <v>7.7799999999999994E-2</v>
      </c>
      <c r="M112">
        <v>3.0700000000000002E-2</v>
      </c>
      <c r="N112">
        <v>0.79220000000000002</v>
      </c>
      <c r="O112">
        <v>200</v>
      </c>
      <c r="P112">
        <v>0.67620000000000002</v>
      </c>
      <c r="Q112" t="s">
        <v>35</v>
      </c>
      <c r="R112" t="s">
        <v>35</v>
      </c>
      <c r="S112" t="s">
        <v>35</v>
      </c>
      <c r="T112" t="s">
        <v>35</v>
      </c>
      <c r="U112" t="s">
        <v>35</v>
      </c>
      <c r="V112">
        <v>1</v>
      </c>
      <c r="W112">
        <v>0.02</v>
      </c>
      <c r="X112">
        <v>0.96</v>
      </c>
      <c r="Y112">
        <v>0</v>
      </c>
      <c r="Z112">
        <v>0.02</v>
      </c>
      <c r="AA112">
        <v>0</v>
      </c>
      <c r="AB112">
        <v>1.512E-2</v>
      </c>
      <c r="AC112">
        <v>20</v>
      </c>
      <c r="AD112">
        <v>1050</v>
      </c>
      <c r="AE112">
        <v>3</v>
      </c>
      <c r="AF112">
        <v>1</v>
      </c>
      <c r="AG112">
        <v>0.45600000000000002</v>
      </c>
      <c r="AH112">
        <v>0.36199999999999999</v>
      </c>
      <c r="AI112">
        <v>0.123</v>
      </c>
      <c r="AJ112">
        <v>5.8999999999999997E-2</v>
      </c>
      <c r="AK112">
        <f t="shared" si="5"/>
        <v>0</v>
      </c>
      <c r="AL112" t="s">
        <v>35</v>
      </c>
      <c r="AM112">
        <v>0.43</v>
      </c>
    </row>
    <row r="113" spans="1:39" x14ac:dyDescent="0.25">
      <c r="A113" s="3" t="s">
        <v>26</v>
      </c>
      <c r="B113" t="s">
        <v>102</v>
      </c>
      <c r="C113">
        <v>200</v>
      </c>
      <c r="D113" t="s">
        <v>35</v>
      </c>
      <c r="E113" t="s">
        <v>35</v>
      </c>
      <c r="F113">
        <v>0.48209999999999997</v>
      </c>
      <c r="G113">
        <v>6.54E-2</v>
      </c>
      <c r="H113">
        <v>7.7000000000000002E-3</v>
      </c>
      <c r="I113">
        <v>8.9999999999999998E-4</v>
      </c>
      <c r="J113">
        <v>0.44390000000000002</v>
      </c>
      <c r="K113">
        <v>0.17710000000000001</v>
      </c>
      <c r="L113">
        <v>7.7799999999999994E-2</v>
      </c>
      <c r="M113">
        <v>3.0700000000000002E-2</v>
      </c>
      <c r="N113">
        <v>0.79220000000000002</v>
      </c>
      <c r="O113">
        <v>200</v>
      </c>
      <c r="P113">
        <v>0.67620000000000002</v>
      </c>
      <c r="Q113" t="s">
        <v>35</v>
      </c>
      <c r="R113" t="s">
        <v>35</v>
      </c>
      <c r="S113" t="s">
        <v>35</v>
      </c>
      <c r="T113" t="s">
        <v>35</v>
      </c>
      <c r="U113" t="s">
        <v>35</v>
      </c>
      <c r="V113">
        <v>1</v>
      </c>
      <c r="W113">
        <v>0.02</v>
      </c>
      <c r="X113">
        <v>0.96</v>
      </c>
      <c r="Y113">
        <v>0</v>
      </c>
      <c r="Z113">
        <v>0.02</v>
      </c>
      <c r="AA113">
        <v>0</v>
      </c>
      <c r="AB113">
        <v>1.512E-2</v>
      </c>
      <c r="AC113">
        <v>20</v>
      </c>
      <c r="AD113">
        <v>1050</v>
      </c>
      <c r="AE113">
        <v>5</v>
      </c>
      <c r="AF113">
        <v>1</v>
      </c>
      <c r="AG113">
        <v>0.45600000000000002</v>
      </c>
      <c r="AH113">
        <v>0.36199999999999999</v>
      </c>
      <c r="AI113">
        <v>0.123</v>
      </c>
      <c r="AJ113">
        <v>5.8999999999999997E-2</v>
      </c>
      <c r="AK113">
        <f t="shared" si="5"/>
        <v>0</v>
      </c>
      <c r="AL113" t="s">
        <v>35</v>
      </c>
      <c r="AM113">
        <v>0.62</v>
      </c>
    </row>
    <row r="114" spans="1:39" x14ac:dyDescent="0.25">
      <c r="A114" s="3" t="s">
        <v>26</v>
      </c>
      <c r="B114" t="s">
        <v>103</v>
      </c>
      <c r="C114">
        <v>200</v>
      </c>
      <c r="D114" t="s">
        <v>35</v>
      </c>
      <c r="E114" t="s">
        <v>35</v>
      </c>
      <c r="F114">
        <v>0.48209999999999997</v>
      </c>
      <c r="G114">
        <v>6.54E-2</v>
      </c>
      <c r="H114">
        <v>7.7000000000000002E-3</v>
      </c>
      <c r="I114">
        <v>8.9999999999999998E-4</v>
      </c>
      <c r="J114">
        <v>0.44390000000000002</v>
      </c>
      <c r="K114">
        <v>0.17710000000000001</v>
      </c>
      <c r="L114">
        <v>7.7799999999999994E-2</v>
      </c>
      <c r="M114">
        <v>3.0700000000000002E-2</v>
      </c>
      <c r="N114">
        <v>0.79220000000000002</v>
      </c>
      <c r="O114">
        <v>200</v>
      </c>
      <c r="P114">
        <v>0.67620000000000002</v>
      </c>
      <c r="Q114" t="s">
        <v>35</v>
      </c>
      <c r="R114" t="s">
        <v>35</v>
      </c>
      <c r="S114" t="s">
        <v>35</v>
      </c>
      <c r="T114" t="s">
        <v>35</v>
      </c>
      <c r="U114" t="s">
        <v>35</v>
      </c>
      <c r="V114">
        <v>1</v>
      </c>
      <c r="W114">
        <v>0.02</v>
      </c>
      <c r="X114">
        <v>0.96</v>
      </c>
      <c r="Y114">
        <v>0</v>
      </c>
      <c r="Z114">
        <v>0.02</v>
      </c>
      <c r="AA114">
        <v>0</v>
      </c>
      <c r="AB114">
        <v>1.512E-2</v>
      </c>
      <c r="AC114">
        <v>20</v>
      </c>
      <c r="AD114">
        <v>1050</v>
      </c>
      <c r="AE114">
        <v>10</v>
      </c>
      <c r="AF114">
        <v>1</v>
      </c>
      <c r="AG114">
        <v>0.45600000000000002</v>
      </c>
      <c r="AH114">
        <v>0.36199999999999999</v>
      </c>
      <c r="AI114">
        <v>0.123</v>
      </c>
      <c r="AJ114">
        <v>5.8999999999999997E-2</v>
      </c>
      <c r="AK114">
        <f t="shared" si="5"/>
        <v>0</v>
      </c>
      <c r="AL114" t="s">
        <v>35</v>
      </c>
      <c r="AM114">
        <v>0.9</v>
      </c>
    </row>
    <row r="115" spans="1:39" x14ac:dyDescent="0.25">
      <c r="A115" s="3" t="s">
        <v>26</v>
      </c>
      <c r="B115" t="s">
        <v>104</v>
      </c>
      <c r="C115">
        <v>200</v>
      </c>
      <c r="D115" t="s">
        <v>35</v>
      </c>
      <c r="E115" t="s">
        <v>35</v>
      </c>
      <c r="F115">
        <v>0.48209999999999997</v>
      </c>
      <c r="G115">
        <v>6.54E-2</v>
      </c>
      <c r="H115">
        <v>7.7000000000000002E-3</v>
      </c>
      <c r="I115">
        <v>8.9999999999999998E-4</v>
      </c>
      <c r="J115">
        <v>0.44390000000000002</v>
      </c>
      <c r="K115">
        <v>0.17710000000000001</v>
      </c>
      <c r="L115">
        <v>7.7799999999999994E-2</v>
      </c>
      <c r="M115">
        <v>3.0700000000000002E-2</v>
      </c>
      <c r="N115">
        <v>0.79220000000000002</v>
      </c>
      <c r="O115">
        <v>200</v>
      </c>
      <c r="P115">
        <v>0.67620000000000002</v>
      </c>
      <c r="Q115" t="s">
        <v>35</v>
      </c>
      <c r="R115" t="s">
        <v>35</v>
      </c>
      <c r="S115" t="s">
        <v>35</v>
      </c>
      <c r="T115" t="s">
        <v>35</v>
      </c>
      <c r="U115" t="s">
        <v>35</v>
      </c>
      <c r="V115">
        <v>1</v>
      </c>
      <c r="W115">
        <v>0.02</v>
      </c>
      <c r="X115">
        <v>0.96</v>
      </c>
      <c r="Y115">
        <v>0</v>
      </c>
      <c r="Z115">
        <v>0.02</v>
      </c>
      <c r="AA115">
        <v>0</v>
      </c>
      <c r="AB115">
        <v>1.512E-2</v>
      </c>
      <c r="AC115">
        <v>20</v>
      </c>
      <c r="AD115">
        <v>1050</v>
      </c>
      <c r="AE115">
        <v>15</v>
      </c>
      <c r="AF115">
        <v>1</v>
      </c>
      <c r="AG115">
        <v>0.45600000000000002</v>
      </c>
      <c r="AH115">
        <v>0.36199999999999999</v>
      </c>
      <c r="AI115">
        <v>0.123</v>
      </c>
      <c r="AJ115">
        <v>5.8999999999999997E-2</v>
      </c>
      <c r="AK115">
        <f t="shared" si="5"/>
        <v>0</v>
      </c>
      <c r="AL115" t="s">
        <v>35</v>
      </c>
      <c r="AM115">
        <v>0.98</v>
      </c>
    </row>
    <row r="116" spans="1:39" x14ac:dyDescent="0.25">
      <c r="A116" s="3" t="s">
        <v>26</v>
      </c>
      <c r="B116" t="s">
        <v>105</v>
      </c>
      <c r="C116">
        <v>200</v>
      </c>
      <c r="D116" t="s">
        <v>35</v>
      </c>
      <c r="E116" t="s">
        <v>35</v>
      </c>
      <c r="F116">
        <v>0.48209999999999997</v>
      </c>
      <c r="G116">
        <v>6.54E-2</v>
      </c>
      <c r="H116">
        <v>7.7000000000000002E-3</v>
      </c>
      <c r="I116">
        <v>8.9999999999999998E-4</v>
      </c>
      <c r="J116">
        <v>0.44390000000000002</v>
      </c>
      <c r="K116">
        <v>0.17710000000000001</v>
      </c>
      <c r="L116">
        <v>7.7799999999999994E-2</v>
      </c>
      <c r="M116">
        <v>3.0700000000000002E-2</v>
      </c>
      <c r="N116">
        <v>0.79220000000000002</v>
      </c>
      <c r="O116">
        <v>200</v>
      </c>
      <c r="P116">
        <v>0.67620000000000002</v>
      </c>
      <c r="Q116" t="s">
        <v>35</v>
      </c>
      <c r="R116" t="s">
        <v>35</v>
      </c>
      <c r="S116" t="s">
        <v>35</v>
      </c>
      <c r="T116" t="s">
        <v>35</v>
      </c>
      <c r="U116" t="s">
        <v>35</v>
      </c>
      <c r="V116">
        <v>1</v>
      </c>
      <c r="W116">
        <v>0.02</v>
      </c>
      <c r="X116">
        <v>0.96</v>
      </c>
      <c r="Y116">
        <v>0</v>
      </c>
      <c r="Z116">
        <v>0.02</v>
      </c>
      <c r="AA116">
        <v>0</v>
      </c>
      <c r="AB116">
        <v>1.512E-2</v>
      </c>
      <c r="AC116">
        <v>20</v>
      </c>
      <c r="AD116">
        <v>1050</v>
      </c>
      <c r="AE116">
        <v>20</v>
      </c>
      <c r="AF116">
        <v>1</v>
      </c>
      <c r="AG116">
        <v>0.45600000000000002</v>
      </c>
      <c r="AH116">
        <v>0.36199999999999999</v>
      </c>
      <c r="AI116">
        <v>0.123</v>
      </c>
      <c r="AJ116">
        <v>5.8999999999999997E-2</v>
      </c>
      <c r="AK116">
        <f t="shared" si="5"/>
        <v>0</v>
      </c>
      <c r="AL116" t="s">
        <v>35</v>
      </c>
      <c r="AM116">
        <v>1</v>
      </c>
    </row>
    <row r="117" spans="1:39" x14ac:dyDescent="0.25">
      <c r="A117" s="3" t="s">
        <v>204</v>
      </c>
      <c r="B117" t="s">
        <v>107</v>
      </c>
      <c r="C117">
        <v>300</v>
      </c>
      <c r="D117" t="s">
        <v>35</v>
      </c>
      <c r="E117" t="s">
        <v>35</v>
      </c>
      <c r="F117">
        <v>0.4894</v>
      </c>
      <c r="G117">
        <v>6.2100000000000002E-2</v>
      </c>
      <c r="H117">
        <v>3.3999999999999998E-3</v>
      </c>
      <c r="I117">
        <v>5.0000000000000001E-4</v>
      </c>
      <c r="J117">
        <v>0.4446</v>
      </c>
      <c r="K117">
        <v>0.14169999999999999</v>
      </c>
      <c r="L117" t="s">
        <v>35</v>
      </c>
      <c r="M117">
        <v>0.18410000000000001</v>
      </c>
      <c r="N117">
        <v>0.67420000000000002</v>
      </c>
      <c r="O117">
        <v>0.5</v>
      </c>
      <c r="P117">
        <v>0.77780000000000005</v>
      </c>
      <c r="Q117" t="s">
        <v>35</v>
      </c>
      <c r="R117">
        <v>3.9</v>
      </c>
      <c r="S117" t="s">
        <v>35</v>
      </c>
      <c r="T117">
        <v>11</v>
      </c>
      <c r="U117" t="s">
        <v>35</v>
      </c>
      <c r="V117">
        <v>0.87360000000000004</v>
      </c>
      <c r="W117" t="s">
        <v>35</v>
      </c>
      <c r="X117" t="s">
        <v>35</v>
      </c>
      <c r="Y117">
        <v>0</v>
      </c>
      <c r="Z117">
        <v>0</v>
      </c>
      <c r="AA117">
        <v>0</v>
      </c>
      <c r="AB117">
        <v>1</v>
      </c>
      <c r="AC117">
        <v>20</v>
      </c>
      <c r="AD117">
        <v>1127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f>100*60/1000000</f>
        <v>6.0000000000000001E-3</v>
      </c>
      <c r="AM117">
        <v>1</v>
      </c>
    </row>
    <row r="118" spans="1:39" x14ac:dyDescent="0.25">
      <c r="A118" s="3" t="s">
        <v>204</v>
      </c>
      <c r="B118" t="s">
        <v>108</v>
      </c>
      <c r="C118">
        <v>300</v>
      </c>
      <c r="D118" t="s">
        <v>35</v>
      </c>
      <c r="E118" t="s">
        <v>35</v>
      </c>
      <c r="F118">
        <v>0.47889999999999999</v>
      </c>
      <c r="G118">
        <v>5.6000000000000001E-2</v>
      </c>
      <c r="H118">
        <v>4.8999999999999998E-3</v>
      </c>
      <c r="I118">
        <v>3.5999999999999999E-3</v>
      </c>
      <c r="J118">
        <v>0.41320000000000001</v>
      </c>
      <c r="K118">
        <v>0.30690000000000001</v>
      </c>
      <c r="L118" t="s">
        <v>35</v>
      </c>
      <c r="M118">
        <v>3.9600000000000003E-2</v>
      </c>
      <c r="N118">
        <v>0.65349999999999997</v>
      </c>
      <c r="O118">
        <v>0.5</v>
      </c>
      <c r="P118">
        <v>0.77780000000000005</v>
      </c>
      <c r="Q118" t="s">
        <v>35</v>
      </c>
      <c r="R118">
        <v>3.9</v>
      </c>
      <c r="S118" t="s">
        <v>35</v>
      </c>
      <c r="T118">
        <v>11</v>
      </c>
      <c r="U118" t="s">
        <v>35</v>
      </c>
      <c r="V118">
        <v>0.87360000000000004</v>
      </c>
      <c r="W118" t="s">
        <v>35</v>
      </c>
      <c r="X118" t="s">
        <v>35</v>
      </c>
      <c r="Y118">
        <v>0</v>
      </c>
      <c r="Z118">
        <v>0</v>
      </c>
      <c r="AA118">
        <v>0</v>
      </c>
      <c r="AB118">
        <v>1</v>
      </c>
      <c r="AC118">
        <v>20</v>
      </c>
      <c r="AD118">
        <v>1027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f t="shared" ref="AL118:AL120" si="6">100*60/1000000</f>
        <v>6.0000000000000001E-3</v>
      </c>
      <c r="AM118">
        <v>1</v>
      </c>
    </row>
    <row r="119" spans="1:39" x14ac:dyDescent="0.25">
      <c r="A119" s="3" t="s">
        <v>204</v>
      </c>
      <c r="B119" t="s">
        <v>109</v>
      </c>
      <c r="C119">
        <v>300</v>
      </c>
      <c r="D119" t="s">
        <v>35</v>
      </c>
      <c r="E119" t="s">
        <v>35</v>
      </c>
      <c r="F119">
        <v>0.45329999999999998</v>
      </c>
      <c r="G119">
        <v>3.6999999999999998E-2</v>
      </c>
      <c r="H119">
        <v>4.5999999999999999E-3</v>
      </c>
      <c r="I119">
        <v>1.4E-3</v>
      </c>
      <c r="J119">
        <v>0.43309999999999998</v>
      </c>
      <c r="K119">
        <v>0.1782</v>
      </c>
      <c r="L119" t="s">
        <v>35</v>
      </c>
      <c r="M119">
        <v>1.9800000000000002E-2</v>
      </c>
      <c r="N119">
        <v>0.80230000000000001</v>
      </c>
      <c r="O119">
        <v>0.5</v>
      </c>
      <c r="P119">
        <v>0.77780000000000005</v>
      </c>
      <c r="Q119" t="s">
        <v>35</v>
      </c>
      <c r="R119">
        <v>3.9</v>
      </c>
      <c r="S119" t="s">
        <v>35</v>
      </c>
      <c r="T119">
        <v>11</v>
      </c>
      <c r="U119" t="s">
        <v>35</v>
      </c>
      <c r="V119">
        <v>0.87360000000000004</v>
      </c>
      <c r="W119" t="s">
        <v>35</v>
      </c>
      <c r="X119" t="s">
        <v>35</v>
      </c>
      <c r="Y119">
        <v>0</v>
      </c>
      <c r="Z119">
        <v>0</v>
      </c>
      <c r="AA119">
        <v>0</v>
      </c>
      <c r="AB119">
        <v>1</v>
      </c>
      <c r="AC119">
        <v>20</v>
      </c>
      <c r="AD119">
        <v>907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f t="shared" si="6"/>
        <v>6.0000000000000001E-3</v>
      </c>
      <c r="AM119">
        <v>1</v>
      </c>
    </row>
    <row r="120" spans="1:39" x14ac:dyDescent="0.25">
      <c r="A120" s="3" t="s">
        <v>204</v>
      </c>
      <c r="B120" t="s">
        <v>110</v>
      </c>
      <c r="C120">
        <v>300</v>
      </c>
      <c r="D120" t="s">
        <v>35</v>
      </c>
      <c r="E120" t="s">
        <v>35</v>
      </c>
      <c r="F120">
        <v>0.48039999999999999</v>
      </c>
      <c r="G120">
        <v>5.6000000000000001E-2</v>
      </c>
      <c r="H120">
        <v>3.7000000000000002E-3</v>
      </c>
      <c r="I120">
        <v>5.9999999999999995E-4</v>
      </c>
      <c r="J120">
        <v>0.3977</v>
      </c>
      <c r="K120">
        <v>0.16389999999999999</v>
      </c>
      <c r="L120" t="s">
        <v>35</v>
      </c>
      <c r="M120">
        <v>4.4999999999999997E-3</v>
      </c>
      <c r="N120">
        <v>0.83160000000000001</v>
      </c>
      <c r="O120">
        <v>0.5</v>
      </c>
      <c r="P120">
        <v>0.77780000000000005</v>
      </c>
      <c r="Q120" t="s">
        <v>35</v>
      </c>
      <c r="R120">
        <v>3.9</v>
      </c>
      <c r="S120" t="s">
        <v>35</v>
      </c>
      <c r="T120">
        <v>11</v>
      </c>
      <c r="U120" t="s">
        <v>35</v>
      </c>
      <c r="V120">
        <v>0.87360000000000004</v>
      </c>
      <c r="W120" t="s">
        <v>35</v>
      </c>
      <c r="X120" t="s">
        <v>35</v>
      </c>
      <c r="Y120">
        <v>0</v>
      </c>
      <c r="Z120">
        <v>0</v>
      </c>
      <c r="AA120">
        <v>0</v>
      </c>
      <c r="AB120">
        <v>1</v>
      </c>
      <c r="AC120">
        <v>20</v>
      </c>
      <c r="AD120">
        <v>1047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f t="shared" si="6"/>
        <v>6.0000000000000001E-3</v>
      </c>
      <c r="AM120">
        <v>1</v>
      </c>
    </row>
    <row r="121" spans="1:39" x14ac:dyDescent="0.25">
      <c r="A121" t="s">
        <v>27</v>
      </c>
      <c r="B121" t="s">
        <v>111</v>
      </c>
      <c r="C121" t="s">
        <v>35</v>
      </c>
      <c r="D121" t="s">
        <v>35</v>
      </c>
      <c r="E121" t="s">
        <v>35</v>
      </c>
      <c r="F121" t="s">
        <v>35</v>
      </c>
      <c r="G121" t="s">
        <v>35</v>
      </c>
      <c r="H121" t="s">
        <v>35</v>
      </c>
      <c r="I121" t="s">
        <v>35</v>
      </c>
      <c r="J121" t="s">
        <v>35</v>
      </c>
      <c r="K121" t="s">
        <v>35</v>
      </c>
      <c r="L121" t="s">
        <v>35</v>
      </c>
      <c r="M121" t="s">
        <v>35</v>
      </c>
      <c r="N121" t="s">
        <v>35</v>
      </c>
      <c r="O121" t="s">
        <v>35</v>
      </c>
      <c r="P121" t="s">
        <v>35</v>
      </c>
      <c r="Q121" t="s">
        <v>35</v>
      </c>
      <c r="R121" t="s">
        <v>35</v>
      </c>
      <c r="S121" t="s">
        <v>35</v>
      </c>
      <c r="T121" t="s">
        <v>35</v>
      </c>
      <c r="U121" t="s">
        <v>35</v>
      </c>
      <c r="V121" t="s">
        <v>35</v>
      </c>
      <c r="W121" t="s">
        <v>35</v>
      </c>
      <c r="X121" t="s">
        <v>35</v>
      </c>
      <c r="Y121" t="s">
        <v>35</v>
      </c>
      <c r="Z121" t="s">
        <v>35</v>
      </c>
      <c r="AA121" t="s">
        <v>35</v>
      </c>
      <c r="AB121" t="s">
        <v>35</v>
      </c>
      <c r="AC121" t="s">
        <v>35</v>
      </c>
      <c r="AD121">
        <v>1200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f>100*60/1000000</f>
        <v>6.0000000000000001E-3</v>
      </c>
      <c r="AM121" t="s">
        <v>35</v>
      </c>
    </row>
    <row r="122" spans="1:39" x14ac:dyDescent="0.25">
      <c r="A122" s="3" t="s">
        <v>28</v>
      </c>
      <c r="B122" t="s">
        <v>125</v>
      </c>
      <c r="C122">
        <v>49.8</v>
      </c>
      <c r="D122" t="s">
        <v>35</v>
      </c>
      <c r="E122" t="s">
        <v>35</v>
      </c>
      <c r="F122">
        <v>0.38719999999999999</v>
      </c>
      <c r="G122">
        <v>5.8000000000000003E-2</v>
      </c>
      <c r="H122">
        <v>5.4000000000000003E-3</v>
      </c>
      <c r="I122">
        <v>3.7000000000000002E-3</v>
      </c>
      <c r="J122">
        <v>0.54559999999999997</v>
      </c>
      <c r="K122">
        <v>0.3493</v>
      </c>
      <c r="L122">
        <v>0.1125</v>
      </c>
      <c r="M122">
        <v>7.3200000000000001E-2</v>
      </c>
      <c r="N122">
        <v>0.57750000000000001</v>
      </c>
      <c r="O122">
        <v>39.74</v>
      </c>
      <c r="P122">
        <v>0.72350000000000003</v>
      </c>
      <c r="Q122" t="s">
        <v>35</v>
      </c>
      <c r="R122" t="s">
        <v>35</v>
      </c>
      <c r="S122" t="s">
        <v>35</v>
      </c>
      <c r="T122" t="s">
        <v>35</v>
      </c>
      <c r="U122" t="s">
        <v>35</v>
      </c>
      <c r="V122" t="s">
        <v>35</v>
      </c>
      <c r="W122">
        <v>0.5</v>
      </c>
      <c r="X122">
        <v>0.5</v>
      </c>
      <c r="Y122" t="s">
        <v>35</v>
      </c>
      <c r="Z122" t="s">
        <v>35</v>
      </c>
      <c r="AA122" t="s">
        <v>35</v>
      </c>
      <c r="AB122" t="s">
        <v>35</v>
      </c>
      <c r="AC122" t="s">
        <v>35</v>
      </c>
      <c r="AD122">
        <v>1000</v>
      </c>
      <c r="AE122">
        <v>30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1</v>
      </c>
      <c r="AL122" t="s">
        <v>35</v>
      </c>
      <c r="AM122">
        <v>0.95730000000000004</v>
      </c>
    </row>
    <row r="123" spans="1:39" x14ac:dyDescent="0.25">
      <c r="A123" s="3" t="s">
        <v>28</v>
      </c>
      <c r="B123" t="s">
        <v>126</v>
      </c>
      <c r="C123">
        <v>49.8</v>
      </c>
      <c r="D123" t="s">
        <v>35</v>
      </c>
      <c r="E123" t="s">
        <v>35</v>
      </c>
      <c r="F123">
        <v>0.38719999999999999</v>
      </c>
      <c r="G123">
        <v>5.8000000000000003E-2</v>
      </c>
      <c r="H123">
        <v>5.4000000000000003E-3</v>
      </c>
      <c r="I123">
        <v>3.7000000000000002E-3</v>
      </c>
      <c r="J123">
        <v>0.54559999999999997</v>
      </c>
      <c r="K123">
        <v>0.3493</v>
      </c>
      <c r="L123">
        <v>0.1125</v>
      </c>
      <c r="M123">
        <v>7.3200000000000001E-2</v>
      </c>
      <c r="N123">
        <v>0.57750000000000001</v>
      </c>
      <c r="O123">
        <v>39.74</v>
      </c>
      <c r="P123">
        <v>0.72350000000000003</v>
      </c>
      <c r="Q123" t="s">
        <v>35</v>
      </c>
      <c r="R123" t="s">
        <v>35</v>
      </c>
      <c r="S123" t="s">
        <v>35</v>
      </c>
      <c r="T123" t="s">
        <v>35</v>
      </c>
      <c r="U123" t="s">
        <v>35</v>
      </c>
      <c r="V123" t="s">
        <v>35</v>
      </c>
      <c r="W123">
        <v>0.5</v>
      </c>
      <c r="X123">
        <v>0.5</v>
      </c>
      <c r="Y123" t="s">
        <v>35</v>
      </c>
      <c r="Z123" t="s">
        <v>35</v>
      </c>
      <c r="AA123" t="s">
        <v>35</v>
      </c>
      <c r="AB123" t="s">
        <v>35</v>
      </c>
      <c r="AC123" t="s">
        <v>35</v>
      </c>
      <c r="AD123">
        <v>1100</v>
      </c>
      <c r="AE123">
        <v>30</v>
      </c>
      <c r="AF123">
        <v>1</v>
      </c>
      <c r="AG123">
        <v>0</v>
      </c>
      <c r="AH123">
        <v>0</v>
      </c>
      <c r="AI123">
        <v>0</v>
      </c>
      <c r="AJ123">
        <v>0</v>
      </c>
      <c r="AK123">
        <v>1</v>
      </c>
      <c r="AL123" t="s">
        <v>35</v>
      </c>
      <c r="AM123">
        <v>1</v>
      </c>
    </row>
    <row r="124" spans="1:39" x14ac:dyDescent="0.25">
      <c r="A124" s="3" t="s">
        <v>28</v>
      </c>
      <c r="B124" t="s">
        <v>112</v>
      </c>
      <c r="C124">
        <v>49.8</v>
      </c>
      <c r="D124" t="s">
        <v>35</v>
      </c>
      <c r="E124" t="s">
        <v>35</v>
      </c>
      <c r="F124">
        <v>0.38719999999999999</v>
      </c>
      <c r="G124">
        <v>5.8000000000000003E-2</v>
      </c>
      <c r="H124">
        <v>5.4000000000000003E-3</v>
      </c>
      <c r="I124">
        <v>3.7000000000000002E-3</v>
      </c>
      <c r="J124">
        <v>0.54559999999999997</v>
      </c>
      <c r="K124">
        <v>0.3493</v>
      </c>
      <c r="L124">
        <v>0.1125</v>
      </c>
      <c r="M124">
        <v>7.3200000000000001E-2</v>
      </c>
      <c r="N124">
        <v>0.57750000000000001</v>
      </c>
      <c r="O124">
        <v>39.74</v>
      </c>
      <c r="P124">
        <v>0.72350000000000003</v>
      </c>
      <c r="Q124" t="s">
        <v>35</v>
      </c>
      <c r="R124" t="s">
        <v>35</v>
      </c>
      <c r="S124" t="s">
        <v>35</v>
      </c>
      <c r="T124" t="s">
        <v>35</v>
      </c>
      <c r="U124" t="s">
        <v>35</v>
      </c>
      <c r="V124" t="s">
        <v>35</v>
      </c>
      <c r="W124">
        <v>0.1</v>
      </c>
      <c r="X124">
        <v>0.9</v>
      </c>
      <c r="Y124" t="s">
        <v>35</v>
      </c>
      <c r="Z124" t="s">
        <v>35</v>
      </c>
      <c r="AA124" t="s">
        <v>35</v>
      </c>
      <c r="AB124" t="s">
        <v>35</v>
      </c>
      <c r="AC124" t="s">
        <v>35</v>
      </c>
      <c r="AD124">
        <v>800</v>
      </c>
      <c r="AE124">
        <v>30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1</v>
      </c>
      <c r="AL124" t="s">
        <v>35</v>
      </c>
      <c r="AM124">
        <v>1.9300000000000001E-2</v>
      </c>
    </row>
    <row r="125" spans="1:39" x14ac:dyDescent="0.25">
      <c r="A125" s="3" t="s">
        <v>28</v>
      </c>
      <c r="B125" t="s">
        <v>113</v>
      </c>
      <c r="C125">
        <v>49.8</v>
      </c>
      <c r="D125" t="s">
        <v>35</v>
      </c>
      <c r="E125" t="s">
        <v>35</v>
      </c>
      <c r="F125">
        <v>0.38719999999999999</v>
      </c>
      <c r="G125">
        <v>5.8000000000000003E-2</v>
      </c>
      <c r="H125">
        <v>5.4000000000000003E-3</v>
      </c>
      <c r="I125">
        <v>3.7000000000000002E-3</v>
      </c>
      <c r="J125">
        <v>0.54559999999999997</v>
      </c>
      <c r="K125">
        <v>0.3493</v>
      </c>
      <c r="L125">
        <v>0.1125</v>
      </c>
      <c r="M125">
        <v>7.3200000000000001E-2</v>
      </c>
      <c r="N125">
        <v>0.57750000000000001</v>
      </c>
      <c r="O125">
        <v>39.74</v>
      </c>
      <c r="P125">
        <v>0.72350000000000003</v>
      </c>
      <c r="Q125" t="s">
        <v>35</v>
      </c>
      <c r="R125" t="s">
        <v>35</v>
      </c>
      <c r="S125" t="s">
        <v>35</v>
      </c>
      <c r="T125" t="s">
        <v>35</v>
      </c>
      <c r="U125" t="s">
        <v>35</v>
      </c>
      <c r="V125" t="s">
        <v>35</v>
      </c>
      <c r="W125">
        <v>0.1</v>
      </c>
      <c r="X125">
        <v>0.9</v>
      </c>
      <c r="Y125" t="s">
        <v>35</v>
      </c>
      <c r="Z125" t="s">
        <v>35</v>
      </c>
      <c r="AA125" t="s">
        <v>35</v>
      </c>
      <c r="AB125" t="s">
        <v>35</v>
      </c>
      <c r="AC125" t="s">
        <v>35</v>
      </c>
      <c r="AD125">
        <v>900</v>
      </c>
      <c r="AE125">
        <v>30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1</v>
      </c>
      <c r="AL125" t="s">
        <v>35</v>
      </c>
      <c r="AM125">
        <v>2.1299999999999999E-2</v>
      </c>
    </row>
    <row r="126" spans="1:39" x14ac:dyDescent="0.25">
      <c r="A126" s="3" t="s">
        <v>28</v>
      </c>
      <c r="B126" t="s">
        <v>114</v>
      </c>
      <c r="C126">
        <v>49.8</v>
      </c>
      <c r="D126" t="s">
        <v>35</v>
      </c>
      <c r="E126" t="s">
        <v>35</v>
      </c>
      <c r="F126">
        <v>0.38719999999999999</v>
      </c>
      <c r="G126">
        <v>5.8000000000000003E-2</v>
      </c>
      <c r="H126">
        <v>5.4000000000000003E-3</v>
      </c>
      <c r="I126">
        <v>3.7000000000000002E-3</v>
      </c>
      <c r="J126">
        <v>0.54559999999999997</v>
      </c>
      <c r="K126">
        <v>0.3493</v>
      </c>
      <c r="L126">
        <v>0.1125</v>
      </c>
      <c r="M126">
        <v>7.3200000000000001E-2</v>
      </c>
      <c r="N126">
        <v>0.57750000000000001</v>
      </c>
      <c r="O126">
        <v>39.74</v>
      </c>
      <c r="P126">
        <v>0.72350000000000003</v>
      </c>
      <c r="Q126" t="s">
        <v>35</v>
      </c>
      <c r="R126" t="s">
        <v>35</v>
      </c>
      <c r="S126" t="s">
        <v>35</v>
      </c>
      <c r="T126" t="s">
        <v>35</v>
      </c>
      <c r="U126" t="s">
        <v>35</v>
      </c>
      <c r="V126" t="s">
        <v>35</v>
      </c>
      <c r="W126">
        <v>0.1</v>
      </c>
      <c r="X126">
        <v>0.9</v>
      </c>
      <c r="Y126" t="s">
        <v>35</v>
      </c>
      <c r="Z126" t="s">
        <v>35</v>
      </c>
      <c r="AA126" t="s">
        <v>35</v>
      </c>
      <c r="AB126" t="s">
        <v>35</v>
      </c>
      <c r="AC126" t="s">
        <v>35</v>
      </c>
      <c r="AD126">
        <v>1000</v>
      </c>
      <c r="AE126">
        <v>30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1</v>
      </c>
      <c r="AL126" t="s">
        <v>35</v>
      </c>
      <c r="AM126">
        <v>0.15040000000000001</v>
      </c>
    </row>
    <row r="127" spans="1:39" x14ac:dyDescent="0.25">
      <c r="A127" s="3" t="s">
        <v>28</v>
      </c>
      <c r="B127" t="s">
        <v>115</v>
      </c>
      <c r="C127">
        <v>49.8</v>
      </c>
      <c r="D127" t="s">
        <v>35</v>
      </c>
      <c r="E127" t="s">
        <v>35</v>
      </c>
      <c r="F127">
        <v>0.38719999999999999</v>
      </c>
      <c r="G127">
        <v>5.8000000000000003E-2</v>
      </c>
      <c r="H127">
        <v>5.4000000000000003E-3</v>
      </c>
      <c r="I127">
        <v>3.7000000000000002E-3</v>
      </c>
      <c r="J127">
        <v>0.54559999999999997</v>
      </c>
      <c r="K127">
        <v>0.3493</v>
      </c>
      <c r="L127">
        <v>0.1125</v>
      </c>
      <c r="M127">
        <v>7.3200000000000001E-2</v>
      </c>
      <c r="N127">
        <v>0.57750000000000001</v>
      </c>
      <c r="O127">
        <v>39.74</v>
      </c>
      <c r="P127">
        <v>0.72350000000000003</v>
      </c>
      <c r="Q127" t="s">
        <v>35</v>
      </c>
      <c r="R127" t="s">
        <v>35</v>
      </c>
      <c r="S127" t="s">
        <v>35</v>
      </c>
      <c r="T127" t="s">
        <v>35</v>
      </c>
      <c r="U127" t="s">
        <v>35</v>
      </c>
      <c r="V127" t="s">
        <v>35</v>
      </c>
      <c r="W127">
        <v>0.1</v>
      </c>
      <c r="X127">
        <v>0.9</v>
      </c>
      <c r="Y127" t="s">
        <v>35</v>
      </c>
      <c r="Z127" t="s">
        <v>35</v>
      </c>
      <c r="AA127" t="s">
        <v>35</v>
      </c>
      <c r="AB127" t="s">
        <v>35</v>
      </c>
      <c r="AC127" t="s">
        <v>35</v>
      </c>
      <c r="AD127">
        <v>1100</v>
      </c>
      <c r="AE127">
        <v>30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1</v>
      </c>
      <c r="AL127" t="s">
        <v>35</v>
      </c>
      <c r="AM127">
        <v>0.2112</v>
      </c>
    </row>
    <row r="128" spans="1:39" x14ac:dyDescent="0.25">
      <c r="A128" s="3" t="s">
        <v>28</v>
      </c>
      <c r="B128" t="s">
        <v>116</v>
      </c>
      <c r="C128">
        <v>49.8</v>
      </c>
      <c r="D128" t="s">
        <v>35</v>
      </c>
      <c r="E128" t="s">
        <v>35</v>
      </c>
      <c r="F128">
        <v>0.38719999999999999</v>
      </c>
      <c r="G128">
        <v>5.8000000000000003E-2</v>
      </c>
      <c r="H128">
        <v>5.4000000000000003E-3</v>
      </c>
      <c r="I128">
        <v>3.7000000000000002E-3</v>
      </c>
      <c r="J128">
        <v>0.54559999999999997</v>
      </c>
      <c r="K128">
        <v>0.3493</v>
      </c>
      <c r="L128">
        <v>0.1125</v>
      </c>
      <c r="M128">
        <v>7.3200000000000001E-2</v>
      </c>
      <c r="N128">
        <v>0.57750000000000001</v>
      </c>
      <c r="O128">
        <v>39.74</v>
      </c>
      <c r="P128">
        <v>0.72350000000000003</v>
      </c>
      <c r="Q128" t="s">
        <v>35</v>
      </c>
      <c r="R128" t="s">
        <v>35</v>
      </c>
      <c r="S128" t="s">
        <v>35</v>
      </c>
      <c r="T128" t="s">
        <v>35</v>
      </c>
      <c r="U128" t="s">
        <v>35</v>
      </c>
      <c r="V128" t="s">
        <v>35</v>
      </c>
      <c r="W128">
        <v>0.25</v>
      </c>
      <c r="X128">
        <v>0.75</v>
      </c>
      <c r="Y128" t="s">
        <v>35</v>
      </c>
      <c r="Z128" t="s">
        <v>35</v>
      </c>
      <c r="AA128" t="s">
        <v>35</v>
      </c>
      <c r="AB128" t="s">
        <v>35</v>
      </c>
      <c r="AC128" t="s">
        <v>35</v>
      </c>
      <c r="AD128">
        <v>800</v>
      </c>
      <c r="AE128">
        <v>30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1</v>
      </c>
      <c r="AL128" t="s">
        <v>35</v>
      </c>
      <c r="AM128">
        <v>1.7899999999999999E-2</v>
      </c>
    </row>
    <row r="129" spans="1:39" x14ac:dyDescent="0.25">
      <c r="A129" s="3" t="s">
        <v>28</v>
      </c>
      <c r="B129" t="s">
        <v>117</v>
      </c>
      <c r="C129">
        <v>49.8</v>
      </c>
      <c r="D129" t="s">
        <v>35</v>
      </c>
      <c r="E129" t="s">
        <v>35</v>
      </c>
      <c r="F129">
        <v>0.38719999999999999</v>
      </c>
      <c r="G129">
        <v>5.8000000000000003E-2</v>
      </c>
      <c r="H129">
        <v>5.4000000000000003E-3</v>
      </c>
      <c r="I129">
        <v>3.7000000000000002E-3</v>
      </c>
      <c r="J129">
        <v>0.54559999999999997</v>
      </c>
      <c r="K129">
        <v>0.3493</v>
      </c>
      <c r="L129">
        <v>0.1125</v>
      </c>
      <c r="M129">
        <v>7.3200000000000001E-2</v>
      </c>
      <c r="N129">
        <v>0.57750000000000001</v>
      </c>
      <c r="O129">
        <v>39.74</v>
      </c>
      <c r="P129">
        <v>0.72350000000000003</v>
      </c>
      <c r="Q129" t="s">
        <v>35</v>
      </c>
      <c r="R129" t="s">
        <v>35</v>
      </c>
      <c r="S129" t="s">
        <v>35</v>
      </c>
      <c r="T129" t="s">
        <v>35</v>
      </c>
      <c r="U129" t="s">
        <v>35</v>
      </c>
      <c r="V129" t="s">
        <v>35</v>
      </c>
      <c r="W129">
        <v>0.25</v>
      </c>
      <c r="X129">
        <v>0.75</v>
      </c>
      <c r="Y129" t="s">
        <v>35</v>
      </c>
      <c r="Z129" t="s">
        <v>35</v>
      </c>
      <c r="AA129" t="s">
        <v>35</v>
      </c>
      <c r="AB129" t="s">
        <v>35</v>
      </c>
      <c r="AC129" t="s">
        <v>35</v>
      </c>
      <c r="AD129">
        <v>900</v>
      </c>
      <c r="AE129">
        <v>30</v>
      </c>
      <c r="AF129">
        <v>1</v>
      </c>
      <c r="AG129">
        <v>0</v>
      </c>
      <c r="AH129">
        <v>0</v>
      </c>
      <c r="AI129">
        <v>0</v>
      </c>
      <c r="AJ129">
        <v>0</v>
      </c>
      <c r="AK129">
        <v>1</v>
      </c>
      <c r="AL129" t="s">
        <v>35</v>
      </c>
      <c r="AM129">
        <v>0.10100000000000001</v>
      </c>
    </row>
    <row r="130" spans="1:39" x14ac:dyDescent="0.25">
      <c r="A130" s="3" t="s">
        <v>28</v>
      </c>
      <c r="B130" t="s">
        <v>118</v>
      </c>
      <c r="C130">
        <v>49.8</v>
      </c>
      <c r="D130" t="s">
        <v>35</v>
      </c>
      <c r="E130" t="s">
        <v>35</v>
      </c>
      <c r="F130">
        <v>0.38719999999999999</v>
      </c>
      <c r="G130">
        <v>5.8000000000000003E-2</v>
      </c>
      <c r="H130">
        <v>5.4000000000000003E-3</v>
      </c>
      <c r="I130">
        <v>3.7000000000000002E-3</v>
      </c>
      <c r="J130">
        <v>0.54559999999999997</v>
      </c>
      <c r="K130">
        <v>0.3493</v>
      </c>
      <c r="L130">
        <v>0.1125</v>
      </c>
      <c r="M130">
        <v>7.3200000000000001E-2</v>
      </c>
      <c r="N130">
        <v>0.57750000000000001</v>
      </c>
      <c r="O130">
        <v>39.74</v>
      </c>
      <c r="P130">
        <v>0.72350000000000003</v>
      </c>
      <c r="Q130" t="s">
        <v>35</v>
      </c>
      <c r="R130" t="s">
        <v>35</v>
      </c>
      <c r="S130" t="s">
        <v>35</v>
      </c>
      <c r="T130" t="s">
        <v>35</v>
      </c>
      <c r="U130" t="s">
        <v>35</v>
      </c>
      <c r="V130" t="s">
        <v>35</v>
      </c>
      <c r="W130">
        <v>0.25</v>
      </c>
      <c r="X130">
        <v>0.75</v>
      </c>
      <c r="Y130" t="s">
        <v>35</v>
      </c>
      <c r="Z130" t="s">
        <v>35</v>
      </c>
      <c r="AA130" t="s">
        <v>35</v>
      </c>
      <c r="AB130" t="s">
        <v>35</v>
      </c>
      <c r="AC130" t="s">
        <v>35</v>
      </c>
      <c r="AD130">
        <v>1000</v>
      </c>
      <c r="AE130">
        <v>30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1</v>
      </c>
      <c r="AL130" t="s">
        <v>35</v>
      </c>
      <c r="AM130">
        <v>0.51570000000000005</v>
      </c>
    </row>
    <row r="131" spans="1:39" x14ac:dyDescent="0.25">
      <c r="A131" s="3" t="s">
        <v>28</v>
      </c>
      <c r="B131" t="s">
        <v>119</v>
      </c>
      <c r="C131">
        <v>49.8</v>
      </c>
      <c r="D131" t="s">
        <v>35</v>
      </c>
      <c r="E131" t="s">
        <v>35</v>
      </c>
      <c r="F131">
        <v>0.38719999999999999</v>
      </c>
      <c r="G131">
        <v>5.8000000000000003E-2</v>
      </c>
      <c r="H131">
        <v>5.4000000000000003E-3</v>
      </c>
      <c r="I131">
        <v>3.7000000000000002E-3</v>
      </c>
      <c r="J131">
        <v>0.54559999999999997</v>
      </c>
      <c r="K131">
        <v>0.3493</v>
      </c>
      <c r="L131">
        <v>0.1125</v>
      </c>
      <c r="M131">
        <v>7.3200000000000001E-2</v>
      </c>
      <c r="N131">
        <v>0.57750000000000001</v>
      </c>
      <c r="O131">
        <v>39.74</v>
      </c>
      <c r="P131">
        <v>0.72350000000000003</v>
      </c>
      <c r="Q131" t="s">
        <v>35</v>
      </c>
      <c r="R131" t="s">
        <v>35</v>
      </c>
      <c r="S131" t="s">
        <v>35</v>
      </c>
      <c r="T131" t="s">
        <v>35</v>
      </c>
      <c r="U131" t="s">
        <v>35</v>
      </c>
      <c r="V131" t="s">
        <v>35</v>
      </c>
      <c r="W131">
        <v>0.25</v>
      </c>
      <c r="X131">
        <v>0.75</v>
      </c>
      <c r="Y131" t="s">
        <v>35</v>
      </c>
      <c r="Z131" t="s">
        <v>35</v>
      </c>
      <c r="AA131" t="s">
        <v>35</v>
      </c>
      <c r="AB131" t="s">
        <v>35</v>
      </c>
      <c r="AC131" t="s">
        <v>35</v>
      </c>
      <c r="AD131">
        <v>1100</v>
      </c>
      <c r="AE131">
        <v>30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1</v>
      </c>
      <c r="AL131" t="s">
        <v>35</v>
      </c>
      <c r="AM131">
        <v>0.86950000000000005</v>
      </c>
    </row>
    <row r="132" spans="1:39" x14ac:dyDescent="0.25">
      <c r="A132" s="3" t="s">
        <v>28</v>
      </c>
      <c r="B132" t="s">
        <v>120</v>
      </c>
      <c r="C132">
        <v>49.8</v>
      </c>
      <c r="D132" t="s">
        <v>35</v>
      </c>
      <c r="E132" t="s">
        <v>35</v>
      </c>
      <c r="F132">
        <v>0.38719999999999999</v>
      </c>
      <c r="G132">
        <v>5.8000000000000003E-2</v>
      </c>
      <c r="H132">
        <v>5.4000000000000003E-3</v>
      </c>
      <c r="I132">
        <v>3.7000000000000002E-3</v>
      </c>
      <c r="J132">
        <v>0.54559999999999997</v>
      </c>
      <c r="K132">
        <v>0.3493</v>
      </c>
      <c r="L132">
        <v>0.1125</v>
      </c>
      <c r="M132">
        <v>7.3200000000000001E-2</v>
      </c>
      <c r="N132">
        <v>0.57750000000000001</v>
      </c>
      <c r="O132">
        <v>39.74</v>
      </c>
      <c r="P132">
        <v>0.72350000000000003</v>
      </c>
      <c r="Q132" t="s">
        <v>35</v>
      </c>
      <c r="R132" t="s">
        <v>35</v>
      </c>
      <c r="S132" t="s">
        <v>35</v>
      </c>
      <c r="T132" t="s">
        <v>35</v>
      </c>
      <c r="U132" t="s">
        <v>35</v>
      </c>
      <c r="V132" t="s">
        <v>35</v>
      </c>
      <c r="W132">
        <v>0.35</v>
      </c>
      <c r="X132">
        <v>0.65</v>
      </c>
      <c r="Y132" t="s">
        <v>35</v>
      </c>
      <c r="Z132" t="s">
        <v>35</v>
      </c>
      <c r="AA132" t="s">
        <v>35</v>
      </c>
      <c r="AB132" t="s">
        <v>35</v>
      </c>
      <c r="AC132" t="s">
        <v>35</v>
      </c>
      <c r="AD132">
        <v>800</v>
      </c>
      <c r="AE132">
        <v>30</v>
      </c>
      <c r="AF132">
        <v>1</v>
      </c>
      <c r="AG132">
        <v>0</v>
      </c>
      <c r="AH132">
        <v>0</v>
      </c>
      <c r="AI132">
        <v>0</v>
      </c>
      <c r="AJ132">
        <v>0</v>
      </c>
      <c r="AK132">
        <v>1</v>
      </c>
      <c r="AL132" t="s">
        <v>35</v>
      </c>
      <c r="AM132">
        <v>2.69E-2</v>
      </c>
    </row>
    <row r="133" spans="1:39" x14ac:dyDescent="0.25">
      <c r="A133" s="3" t="s">
        <v>28</v>
      </c>
      <c r="B133" t="s">
        <v>121</v>
      </c>
      <c r="C133">
        <v>49.8</v>
      </c>
      <c r="D133" t="s">
        <v>35</v>
      </c>
      <c r="E133" t="s">
        <v>35</v>
      </c>
      <c r="F133">
        <v>0.38719999999999999</v>
      </c>
      <c r="G133">
        <v>5.8000000000000003E-2</v>
      </c>
      <c r="H133">
        <v>5.4000000000000003E-3</v>
      </c>
      <c r="I133">
        <v>3.7000000000000002E-3</v>
      </c>
      <c r="J133">
        <v>0.54559999999999997</v>
      </c>
      <c r="K133">
        <v>0.3493</v>
      </c>
      <c r="L133">
        <v>0.1125</v>
      </c>
      <c r="M133">
        <v>7.3200000000000001E-2</v>
      </c>
      <c r="N133">
        <v>0.57750000000000001</v>
      </c>
      <c r="O133">
        <v>39.74</v>
      </c>
      <c r="P133">
        <v>0.72350000000000003</v>
      </c>
      <c r="Q133" t="s">
        <v>35</v>
      </c>
      <c r="R133" t="s">
        <v>35</v>
      </c>
      <c r="S133" t="s">
        <v>35</v>
      </c>
      <c r="T133" t="s">
        <v>35</v>
      </c>
      <c r="U133" t="s">
        <v>35</v>
      </c>
      <c r="V133" t="s">
        <v>35</v>
      </c>
      <c r="W133">
        <v>0.35</v>
      </c>
      <c r="X133">
        <v>0.65</v>
      </c>
      <c r="Y133" t="s">
        <v>35</v>
      </c>
      <c r="Z133" t="s">
        <v>35</v>
      </c>
      <c r="AA133" t="s">
        <v>35</v>
      </c>
      <c r="AB133" t="s">
        <v>35</v>
      </c>
      <c r="AC133" t="s">
        <v>35</v>
      </c>
      <c r="AD133">
        <v>900</v>
      </c>
      <c r="AE133">
        <v>30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1</v>
      </c>
      <c r="AL133" t="s">
        <v>35</v>
      </c>
      <c r="AM133">
        <v>0.32190000000000002</v>
      </c>
    </row>
    <row r="134" spans="1:39" x14ac:dyDescent="0.25">
      <c r="A134" s="3" t="s">
        <v>28</v>
      </c>
      <c r="B134" t="s">
        <v>122</v>
      </c>
      <c r="C134">
        <v>49.8</v>
      </c>
      <c r="D134" t="s">
        <v>35</v>
      </c>
      <c r="E134" t="s">
        <v>35</v>
      </c>
      <c r="F134">
        <v>0.38719999999999999</v>
      </c>
      <c r="G134">
        <v>5.8000000000000003E-2</v>
      </c>
      <c r="H134">
        <v>5.4000000000000003E-3</v>
      </c>
      <c r="I134">
        <v>3.7000000000000002E-3</v>
      </c>
      <c r="J134">
        <v>0.54559999999999997</v>
      </c>
      <c r="K134">
        <v>0.3493</v>
      </c>
      <c r="L134">
        <v>0.1125</v>
      </c>
      <c r="M134">
        <v>7.3200000000000001E-2</v>
      </c>
      <c r="N134">
        <v>0.57750000000000001</v>
      </c>
      <c r="O134">
        <v>39.74</v>
      </c>
      <c r="P134">
        <v>0.72350000000000003</v>
      </c>
      <c r="Q134" t="s">
        <v>35</v>
      </c>
      <c r="R134" t="s">
        <v>35</v>
      </c>
      <c r="S134" t="s">
        <v>35</v>
      </c>
      <c r="T134" t="s">
        <v>35</v>
      </c>
      <c r="U134" t="s">
        <v>35</v>
      </c>
      <c r="V134" t="s">
        <v>35</v>
      </c>
      <c r="W134">
        <v>0.35</v>
      </c>
      <c r="X134">
        <v>0.65</v>
      </c>
      <c r="Y134" t="s">
        <v>35</v>
      </c>
      <c r="Z134" t="s">
        <v>35</v>
      </c>
      <c r="AA134" t="s">
        <v>35</v>
      </c>
      <c r="AB134" t="s">
        <v>35</v>
      </c>
      <c r="AC134" t="s">
        <v>35</v>
      </c>
      <c r="AD134">
        <v>1000</v>
      </c>
      <c r="AE134">
        <v>30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1</v>
      </c>
      <c r="AL134" t="s">
        <v>35</v>
      </c>
      <c r="AM134">
        <v>0.7883</v>
      </c>
    </row>
    <row r="135" spans="1:39" x14ac:dyDescent="0.25">
      <c r="A135" s="3" t="s">
        <v>28</v>
      </c>
      <c r="B135" t="s">
        <v>123</v>
      </c>
      <c r="C135">
        <v>49.8</v>
      </c>
      <c r="D135" t="s">
        <v>35</v>
      </c>
      <c r="E135" t="s">
        <v>35</v>
      </c>
      <c r="F135">
        <v>0.38719999999999999</v>
      </c>
      <c r="G135">
        <v>5.8000000000000003E-2</v>
      </c>
      <c r="H135">
        <v>5.4000000000000003E-3</v>
      </c>
      <c r="I135">
        <v>3.7000000000000002E-3</v>
      </c>
      <c r="J135">
        <v>0.54559999999999997</v>
      </c>
      <c r="K135">
        <v>0.3493</v>
      </c>
      <c r="L135">
        <v>0.1125</v>
      </c>
      <c r="M135">
        <v>7.3200000000000001E-2</v>
      </c>
      <c r="N135">
        <v>0.57750000000000001</v>
      </c>
      <c r="O135">
        <v>39.74</v>
      </c>
      <c r="P135">
        <v>0.72350000000000003</v>
      </c>
      <c r="Q135" t="s">
        <v>35</v>
      </c>
      <c r="R135" t="s">
        <v>35</v>
      </c>
      <c r="S135" t="s">
        <v>35</v>
      </c>
      <c r="T135" t="s">
        <v>35</v>
      </c>
      <c r="U135" t="s">
        <v>35</v>
      </c>
      <c r="V135" t="s">
        <v>35</v>
      </c>
      <c r="W135">
        <v>0.35</v>
      </c>
      <c r="X135">
        <v>0.65</v>
      </c>
      <c r="Y135" t="s">
        <v>35</v>
      </c>
      <c r="Z135" t="s">
        <v>35</v>
      </c>
      <c r="AA135" t="s">
        <v>35</v>
      </c>
      <c r="AB135" t="s">
        <v>35</v>
      </c>
      <c r="AC135" t="s">
        <v>35</v>
      </c>
      <c r="AD135">
        <v>1100</v>
      </c>
      <c r="AE135">
        <v>30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1</v>
      </c>
      <c r="AL135" t="s">
        <v>35</v>
      </c>
      <c r="AM135">
        <v>1</v>
      </c>
    </row>
    <row r="136" spans="1:39" x14ac:dyDescent="0.25">
      <c r="A136" s="3" t="s">
        <v>28</v>
      </c>
      <c r="B136" t="s">
        <v>124</v>
      </c>
      <c r="C136">
        <v>49.8</v>
      </c>
      <c r="D136" t="s">
        <v>35</v>
      </c>
      <c r="E136" t="s">
        <v>35</v>
      </c>
      <c r="F136">
        <v>0.38719999999999999</v>
      </c>
      <c r="G136">
        <v>5.8000000000000003E-2</v>
      </c>
      <c r="H136">
        <v>5.4000000000000003E-3</v>
      </c>
      <c r="I136">
        <v>3.7000000000000002E-3</v>
      </c>
      <c r="J136">
        <v>0.54559999999999997</v>
      </c>
      <c r="K136">
        <v>0.3493</v>
      </c>
      <c r="L136">
        <v>0.1125</v>
      </c>
      <c r="M136">
        <v>7.3200000000000001E-2</v>
      </c>
      <c r="N136">
        <v>0.57750000000000001</v>
      </c>
      <c r="O136">
        <v>39.74</v>
      </c>
      <c r="P136">
        <v>0.72350000000000003</v>
      </c>
      <c r="Q136" t="s">
        <v>35</v>
      </c>
      <c r="R136" t="s">
        <v>35</v>
      </c>
      <c r="S136" t="s">
        <v>35</v>
      </c>
      <c r="T136" t="s">
        <v>35</v>
      </c>
      <c r="U136" t="s">
        <v>35</v>
      </c>
      <c r="V136" t="s">
        <v>35</v>
      </c>
      <c r="W136">
        <v>0.5</v>
      </c>
      <c r="X136">
        <v>0.5</v>
      </c>
      <c r="Y136" t="s">
        <v>35</v>
      </c>
      <c r="Z136" t="s">
        <v>35</v>
      </c>
      <c r="AA136" t="s">
        <v>35</v>
      </c>
      <c r="AB136" t="s">
        <v>35</v>
      </c>
      <c r="AC136" t="s">
        <v>35</v>
      </c>
      <c r="AD136">
        <v>800</v>
      </c>
      <c r="AE136">
        <v>30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1</v>
      </c>
      <c r="AL136" t="s">
        <v>35</v>
      </c>
      <c r="AM136">
        <v>2.8199999999999999E-2</v>
      </c>
    </row>
    <row r="137" spans="1:39" x14ac:dyDescent="0.25">
      <c r="A137" s="3" t="s">
        <v>28</v>
      </c>
      <c r="B137" t="s">
        <v>127</v>
      </c>
      <c r="C137">
        <v>49.8</v>
      </c>
      <c r="D137" t="s">
        <v>35</v>
      </c>
      <c r="E137" t="s">
        <v>35</v>
      </c>
      <c r="F137">
        <v>0.38719999999999999</v>
      </c>
      <c r="G137">
        <v>5.8000000000000003E-2</v>
      </c>
      <c r="H137">
        <v>5.4000000000000003E-3</v>
      </c>
      <c r="I137">
        <v>3.7000000000000002E-3</v>
      </c>
      <c r="J137">
        <v>0.54559999999999997</v>
      </c>
      <c r="K137">
        <v>0.3493</v>
      </c>
      <c r="L137">
        <v>0.1125</v>
      </c>
      <c r="M137">
        <v>7.3200000000000001E-2</v>
      </c>
      <c r="N137">
        <v>0.57750000000000001</v>
      </c>
      <c r="O137">
        <v>39.74</v>
      </c>
      <c r="P137">
        <v>0.72350000000000003</v>
      </c>
      <c r="Q137" t="s">
        <v>35</v>
      </c>
      <c r="R137" t="s">
        <v>35</v>
      </c>
      <c r="S137" t="s">
        <v>35</v>
      </c>
      <c r="T137" t="s">
        <v>35</v>
      </c>
      <c r="U137" t="s">
        <v>35</v>
      </c>
      <c r="V137" t="s">
        <v>35</v>
      </c>
      <c r="W137">
        <v>0.5</v>
      </c>
      <c r="X137">
        <v>0.5</v>
      </c>
      <c r="Y137" t="s">
        <v>35</v>
      </c>
      <c r="Z137" t="s">
        <v>35</v>
      </c>
      <c r="AA137" t="s">
        <v>35</v>
      </c>
      <c r="AB137" t="s">
        <v>35</v>
      </c>
      <c r="AC137" t="s">
        <v>35</v>
      </c>
      <c r="AD137">
        <v>900</v>
      </c>
      <c r="AE137">
        <v>30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1</v>
      </c>
      <c r="AL137" t="s">
        <v>35</v>
      </c>
      <c r="AM137">
        <v>0.49540000000000001</v>
      </c>
    </row>
    <row r="138" spans="1:39" x14ac:dyDescent="0.25">
      <c r="A138" s="3" t="s">
        <v>169</v>
      </c>
      <c r="B138" t="s">
        <v>129</v>
      </c>
      <c r="C138">
        <v>74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>
        <v>0.85629999999999995</v>
      </c>
      <c r="L138" t="s">
        <v>35</v>
      </c>
      <c r="M138">
        <v>3.0099999999999998E-2</v>
      </c>
      <c r="N138">
        <v>0.11360000000000001</v>
      </c>
      <c r="O138">
        <v>74</v>
      </c>
      <c r="P138">
        <v>0.65249999999999997</v>
      </c>
      <c r="Q138" t="s">
        <v>35</v>
      </c>
      <c r="R138" t="s">
        <v>35</v>
      </c>
      <c r="S138" t="s">
        <v>35</v>
      </c>
      <c r="T138" t="s">
        <v>35</v>
      </c>
      <c r="U138" t="s">
        <v>35</v>
      </c>
      <c r="V138">
        <v>1</v>
      </c>
      <c r="W138" t="s">
        <v>35</v>
      </c>
      <c r="X138" t="s">
        <v>35</v>
      </c>
      <c r="Y138">
        <v>7.4999999999999997E-2</v>
      </c>
      <c r="Z138">
        <v>0.02</v>
      </c>
      <c r="AA138">
        <v>0</v>
      </c>
      <c r="AB138">
        <v>0.83299999999999996</v>
      </c>
      <c r="AC138">
        <v>20</v>
      </c>
      <c r="AD138">
        <v>900</v>
      </c>
      <c r="AE138">
        <v>15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f>5*60/1000</f>
        <v>0.3</v>
      </c>
      <c r="AM138">
        <v>0.4</v>
      </c>
    </row>
    <row r="139" spans="1:39" x14ac:dyDescent="0.25">
      <c r="A139" s="3" t="s">
        <v>169</v>
      </c>
      <c r="B139" t="s">
        <v>130</v>
      </c>
      <c r="C139">
        <v>74</v>
      </c>
      <c r="D139" t="s">
        <v>35</v>
      </c>
      <c r="E139" t="s">
        <v>35</v>
      </c>
      <c r="F139" t="s">
        <v>35</v>
      </c>
      <c r="G139" t="s">
        <v>35</v>
      </c>
      <c r="H139" t="s">
        <v>35</v>
      </c>
      <c r="I139" t="s">
        <v>35</v>
      </c>
      <c r="J139" t="s">
        <v>35</v>
      </c>
      <c r="K139">
        <v>0.85629999999999995</v>
      </c>
      <c r="L139" t="s">
        <v>35</v>
      </c>
      <c r="M139">
        <v>3.0099999999999998E-2</v>
      </c>
      <c r="N139">
        <v>0.11360000000000001</v>
      </c>
      <c r="O139">
        <v>74</v>
      </c>
      <c r="P139">
        <v>0.65249999999999997</v>
      </c>
      <c r="Q139" t="s">
        <v>35</v>
      </c>
      <c r="R139" t="s">
        <v>35</v>
      </c>
      <c r="S139" t="s">
        <v>35</v>
      </c>
      <c r="T139" t="s">
        <v>35</v>
      </c>
      <c r="U139" t="s">
        <v>35</v>
      </c>
      <c r="V139">
        <v>1</v>
      </c>
      <c r="W139" t="s">
        <v>35</v>
      </c>
      <c r="X139" t="s">
        <v>35</v>
      </c>
      <c r="Y139">
        <v>7.4999999999999997E-2</v>
      </c>
      <c r="Z139">
        <v>0.02</v>
      </c>
      <c r="AA139">
        <v>0</v>
      </c>
      <c r="AB139">
        <v>0.83299999999999996</v>
      </c>
      <c r="AC139">
        <v>20</v>
      </c>
      <c r="AD139">
        <v>900</v>
      </c>
      <c r="AE139">
        <v>30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f t="shared" ref="AL139:AL177" si="7">5*60/1000</f>
        <v>0.3</v>
      </c>
      <c r="AM139">
        <v>0.57999999999999996</v>
      </c>
    </row>
    <row r="140" spans="1:39" x14ac:dyDescent="0.25">
      <c r="A140" s="3" t="s">
        <v>169</v>
      </c>
      <c r="B140" t="s">
        <v>131</v>
      </c>
      <c r="C140">
        <v>74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>
        <v>0.85629999999999995</v>
      </c>
      <c r="L140" t="s">
        <v>35</v>
      </c>
      <c r="M140">
        <v>3.0099999999999998E-2</v>
      </c>
      <c r="N140">
        <v>0.11360000000000001</v>
      </c>
      <c r="O140">
        <v>74</v>
      </c>
      <c r="P140">
        <v>0.65249999999999997</v>
      </c>
      <c r="Q140" t="s">
        <v>35</v>
      </c>
      <c r="R140" t="s">
        <v>35</v>
      </c>
      <c r="S140" t="s">
        <v>35</v>
      </c>
      <c r="T140" t="s">
        <v>35</v>
      </c>
      <c r="U140" t="s">
        <v>35</v>
      </c>
      <c r="V140">
        <v>1</v>
      </c>
      <c r="W140" t="s">
        <v>35</v>
      </c>
      <c r="X140" t="s">
        <v>35</v>
      </c>
      <c r="Y140">
        <v>7.4999999999999997E-2</v>
      </c>
      <c r="Z140">
        <v>0.02</v>
      </c>
      <c r="AA140">
        <v>0</v>
      </c>
      <c r="AB140">
        <v>0.83299999999999996</v>
      </c>
      <c r="AC140">
        <v>20</v>
      </c>
      <c r="AD140">
        <v>900</v>
      </c>
      <c r="AE140">
        <v>45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f t="shared" si="7"/>
        <v>0.3</v>
      </c>
      <c r="AM140">
        <v>0.65</v>
      </c>
    </row>
    <row r="141" spans="1:39" x14ac:dyDescent="0.25">
      <c r="A141" s="3" t="s">
        <v>169</v>
      </c>
      <c r="B141" t="s">
        <v>132</v>
      </c>
      <c r="C141">
        <v>74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>
        <v>0.85629999999999995</v>
      </c>
      <c r="L141" t="s">
        <v>35</v>
      </c>
      <c r="M141">
        <v>3.0099999999999998E-2</v>
      </c>
      <c r="N141">
        <v>0.11360000000000001</v>
      </c>
      <c r="O141">
        <v>74</v>
      </c>
      <c r="P141">
        <v>0.65249999999999997</v>
      </c>
      <c r="Q141" t="s">
        <v>35</v>
      </c>
      <c r="R141" t="s">
        <v>35</v>
      </c>
      <c r="S141" t="s">
        <v>35</v>
      </c>
      <c r="T141" t="s">
        <v>35</v>
      </c>
      <c r="U141" t="s">
        <v>35</v>
      </c>
      <c r="V141">
        <v>1</v>
      </c>
      <c r="W141" t="s">
        <v>35</v>
      </c>
      <c r="X141" t="s">
        <v>35</v>
      </c>
      <c r="Y141">
        <v>7.4999999999999997E-2</v>
      </c>
      <c r="Z141">
        <v>0.02</v>
      </c>
      <c r="AA141">
        <v>0</v>
      </c>
      <c r="AB141">
        <v>0.83299999999999996</v>
      </c>
      <c r="AC141">
        <v>20</v>
      </c>
      <c r="AD141">
        <v>900</v>
      </c>
      <c r="AE141">
        <v>60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1</v>
      </c>
      <c r="AL141">
        <f t="shared" si="7"/>
        <v>0.3</v>
      </c>
      <c r="AM141">
        <v>0.69</v>
      </c>
    </row>
    <row r="142" spans="1:39" x14ac:dyDescent="0.25">
      <c r="A142" s="3" t="s">
        <v>169</v>
      </c>
      <c r="B142" t="s">
        <v>133</v>
      </c>
      <c r="C142">
        <v>74</v>
      </c>
      <c r="D142" t="s">
        <v>35</v>
      </c>
      <c r="E142" t="s">
        <v>35</v>
      </c>
      <c r="F142" t="s">
        <v>35</v>
      </c>
      <c r="G142" t="s">
        <v>35</v>
      </c>
      <c r="H142" t="s">
        <v>35</v>
      </c>
      <c r="I142" t="s">
        <v>35</v>
      </c>
      <c r="J142" t="s">
        <v>35</v>
      </c>
      <c r="K142">
        <v>0.85629999999999995</v>
      </c>
      <c r="L142" t="s">
        <v>35</v>
      </c>
      <c r="M142">
        <v>3.0099999999999998E-2</v>
      </c>
      <c r="N142">
        <v>0.11360000000000001</v>
      </c>
      <c r="O142">
        <v>74</v>
      </c>
      <c r="P142">
        <v>0.65249999999999997</v>
      </c>
      <c r="Q142" t="s">
        <v>35</v>
      </c>
      <c r="R142" t="s">
        <v>35</v>
      </c>
      <c r="S142" t="s">
        <v>35</v>
      </c>
      <c r="T142" t="s">
        <v>35</v>
      </c>
      <c r="U142" t="s">
        <v>35</v>
      </c>
      <c r="V142">
        <v>1</v>
      </c>
      <c r="W142" t="s">
        <v>35</v>
      </c>
      <c r="X142" t="s">
        <v>35</v>
      </c>
      <c r="Y142">
        <v>7.4999999999999997E-2</v>
      </c>
      <c r="Z142">
        <v>0.02</v>
      </c>
      <c r="AA142">
        <v>0</v>
      </c>
      <c r="AB142">
        <v>0.83299999999999996</v>
      </c>
      <c r="AC142">
        <v>20</v>
      </c>
      <c r="AD142">
        <v>900</v>
      </c>
      <c r="AE142">
        <v>90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f t="shared" si="7"/>
        <v>0.3</v>
      </c>
      <c r="AM142">
        <v>0.71</v>
      </c>
    </row>
    <row r="143" spans="1:39" x14ac:dyDescent="0.25">
      <c r="A143" s="3" t="s">
        <v>169</v>
      </c>
      <c r="B143" t="s">
        <v>134</v>
      </c>
      <c r="C143">
        <v>74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>
        <v>0.85629999999999995</v>
      </c>
      <c r="L143" t="s">
        <v>35</v>
      </c>
      <c r="M143">
        <v>3.0099999999999998E-2</v>
      </c>
      <c r="N143">
        <v>0.11360000000000001</v>
      </c>
      <c r="O143">
        <v>74</v>
      </c>
      <c r="P143">
        <v>0.65249999999999997</v>
      </c>
      <c r="Q143" t="s">
        <v>35</v>
      </c>
      <c r="R143" t="s">
        <v>35</v>
      </c>
      <c r="S143" t="s">
        <v>35</v>
      </c>
      <c r="T143" t="s">
        <v>35</v>
      </c>
      <c r="U143" t="s">
        <v>35</v>
      </c>
      <c r="V143">
        <v>1</v>
      </c>
      <c r="W143" t="s">
        <v>35</v>
      </c>
      <c r="X143" t="s">
        <v>35</v>
      </c>
      <c r="Y143">
        <v>7.4999999999999997E-2</v>
      </c>
      <c r="Z143">
        <v>0.02</v>
      </c>
      <c r="AA143">
        <v>0</v>
      </c>
      <c r="AB143">
        <v>0.83299999999999996</v>
      </c>
      <c r="AC143">
        <v>20</v>
      </c>
      <c r="AD143">
        <v>1000</v>
      </c>
      <c r="AE143">
        <v>15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1</v>
      </c>
      <c r="AL143">
        <f t="shared" si="7"/>
        <v>0.3</v>
      </c>
      <c r="AM143">
        <v>0.55000000000000004</v>
      </c>
    </row>
    <row r="144" spans="1:39" x14ac:dyDescent="0.25">
      <c r="A144" s="3" t="s">
        <v>169</v>
      </c>
      <c r="B144" t="s">
        <v>135</v>
      </c>
      <c r="C144">
        <v>74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>
        <v>0.85629999999999995</v>
      </c>
      <c r="L144" t="s">
        <v>35</v>
      </c>
      <c r="M144">
        <v>3.0099999999999998E-2</v>
      </c>
      <c r="N144">
        <v>0.11360000000000001</v>
      </c>
      <c r="O144">
        <v>74</v>
      </c>
      <c r="P144">
        <v>0.65249999999999997</v>
      </c>
      <c r="Q144" t="s">
        <v>35</v>
      </c>
      <c r="R144" t="s">
        <v>35</v>
      </c>
      <c r="S144" t="s">
        <v>35</v>
      </c>
      <c r="T144" t="s">
        <v>35</v>
      </c>
      <c r="U144" t="s">
        <v>35</v>
      </c>
      <c r="V144">
        <v>1</v>
      </c>
      <c r="W144" t="s">
        <v>35</v>
      </c>
      <c r="X144" t="s">
        <v>35</v>
      </c>
      <c r="Y144">
        <v>7.4999999999999997E-2</v>
      </c>
      <c r="Z144">
        <v>0.02</v>
      </c>
      <c r="AA144">
        <v>0</v>
      </c>
      <c r="AB144">
        <v>0.83299999999999996</v>
      </c>
      <c r="AC144">
        <v>20</v>
      </c>
      <c r="AD144">
        <v>1000</v>
      </c>
      <c r="AE144">
        <v>30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f t="shared" si="7"/>
        <v>0.3</v>
      </c>
      <c r="AM144">
        <v>0.72499999999999998</v>
      </c>
    </row>
    <row r="145" spans="1:39" x14ac:dyDescent="0.25">
      <c r="A145" s="3" t="s">
        <v>169</v>
      </c>
      <c r="B145" t="s">
        <v>136</v>
      </c>
      <c r="C145">
        <v>74</v>
      </c>
      <c r="D145" t="s">
        <v>35</v>
      </c>
      <c r="E145" t="s">
        <v>35</v>
      </c>
      <c r="F145" t="s">
        <v>35</v>
      </c>
      <c r="G145" t="s">
        <v>35</v>
      </c>
      <c r="H145" t="s">
        <v>35</v>
      </c>
      <c r="I145" t="s">
        <v>35</v>
      </c>
      <c r="J145" t="s">
        <v>35</v>
      </c>
      <c r="K145">
        <v>0.85629999999999995</v>
      </c>
      <c r="L145" t="s">
        <v>35</v>
      </c>
      <c r="M145">
        <v>3.0099999999999998E-2</v>
      </c>
      <c r="N145">
        <v>0.11360000000000001</v>
      </c>
      <c r="O145">
        <v>74</v>
      </c>
      <c r="P145">
        <v>0.65249999999999997</v>
      </c>
      <c r="Q145" t="s">
        <v>35</v>
      </c>
      <c r="R145" t="s">
        <v>35</v>
      </c>
      <c r="S145" t="s">
        <v>35</v>
      </c>
      <c r="T145" t="s">
        <v>35</v>
      </c>
      <c r="U145" t="s">
        <v>35</v>
      </c>
      <c r="V145">
        <v>1</v>
      </c>
      <c r="W145" t="s">
        <v>35</v>
      </c>
      <c r="X145" t="s">
        <v>35</v>
      </c>
      <c r="Y145">
        <v>7.4999999999999997E-2</v>
      </c>
      <c r="Z145">
        <v>0.02</v>
      </c>
      <c r="AA145">
        <v>0</v>
      </c>
      <c r="AB145">
        <v>0.83299999999999996</v>
      </c>
      <c r="AC145">
        <v>20</v>
      </c>
      <c r="AD145">
        <v>1000</v>
      </c>
      <c r="AE145">
        <v>45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f t="shared" si="7"/>
        <v>0.3</v>
      </c>
      <c r="AM145">
        <v>0.78</v>
      </c>
    </row>
    <row r="146" spans="1:39" x14ac:dyDescent="0.25">
      <c r="A146" s="3" t="s">
        <v>169</v>
      </c>
      <c r="B146" t="s">
        <v>137</v>
      </c>
      <c r="C146">
        <v>74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>
        <v>0.85629999999999995</v>
      </c>
      <c r="L146" t="s">
        <v>35</v>
      </c>
      <c r="M146">
        <v>3.0099999999999998E-2</v>
      </c>
      <c r="N146">
        <v>0.11360000000000001</v>
      </c>
      <c r="O146">
        <v>74</v>
      </c>
      <c r="P146">
        <v>0.65249999999999997</v>
      </c>
      <c r="Q146" t="s">
        <v>35</v>
      </c>
      <c r="R146" t="s">
        <v>35</v>
      </c>
      <c r="S146" t="s">
        <v>35</v>
      </c>
      <c r="T146" t="s">
        <v>35</v>
      </c>
      <c r="U146" t="s">
        <v>35</v>
      </c>
      <c r="V146">
        <v>1</v>
      </c>
      <c r="W146" t="s">
        <v>35</v>
      </c>
      <c r="X146" t="s">
        <v>35</v>
      </c>
      <c r="Y146">
        <v>7.4999999999999997E-2</v>
      </c>
      <c r="Z146">
        <v>0.02</v>
      </c>
      <c r="AA146">
        <v>0</v>
      </c>
      <c r="AB146">
        <v>0.83299999999999996</v>
      </c>
      <c r="AC146">
        <v>20</v>
      </c>
      <c r="AD146">
        <v>1000</v>
      </c>
      <c r="AE146">
        <v>60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f t="shared" si="7"/>
        <v>0.3</v>
      </c>
      <c r="AM146">
        <v>0.8</v>
      </c>
    </row>
    <row r="147" spans="1:39" x14ac:dyDescent="0.25">
      <c r="A147" s="3" t="s">
        <v>169</v>
      </c>
      <c r="B147" t="s">
        <v>138</v>
      </c>
      <c r="C147">
        <v>74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>
        <v>0.85629999999999995</v>
      </c>
      <c r="L147" t="s">
        <v>35</v>
      </c>
      <c r="M147">
        <v>3.0099999999999998E-2</v>
      </c>
      <c r="N147">
        <v>0.11360000000000001</v>
      </c>
      <c r="O147">
        <v>74</v>
      </c>
      <c r="P147">
        <v>0.65249999999999997</v>
      </c>
      <c r="Q147" t="s">
        <v>35</v>
      </c>
      <c r="R147" t="s">
        <v>35</v>
      </c>
      <c r="S147" t="s">
        <v>35</v>
      </c>
      <c r="T147" t="s">
        <v>35</v>
      </c>
      <c r="U147" t="s">
        <v>35</v>
      </c>
      <c r="V147">
        <v>1</v>
      </c>
      <c r="W147" t="s">
        <v>35</v>
      </c>
      <c r="X147" t="s">
        <v>35</v>
      </c>
      <c r="Y147">
        <v>7.4999999999999997E-2</v>
      </c>
      <c r="Z147">
        <v>0.02</v>
      </c>
      <c r="AA147">
        <v>0</v>
      </c>
      <c r="AB147">
        <v>0.83299999999999996</v>
      </c>
      <c r="AC147">
        <v>20</v>
      </c>
      <c r="AD147">
        <v>1000</v>
      </c>
      <c r="AE147">
        <v>90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1</v>
      </c>
      <c r="AL147">
        <f t="shared" si="7"/>
        <v>0.3</v>
      </c>
      <c r="AM147">
        <v>0.82</v>
      </c>
    </row>
    <row r="148" spans="1:39" x14ac:dyDescent="0.25">
      <c r="A148" s="3" t="s">
        <v>169</v>
      </c>
      <c r="B148" t="s">
        <v>139</v>
      </c>
      <c r="C148">
        <v>74</v>
      </c>
      <c r="D148" t="s">
        <v>35</v>
      </c>
      <c r="E148" t="s">
        <v>35</v>
      </c>
      <c r="F148" t="s">
        <v>35</v>
      </c>
      <c r="G148" t="s">
        <v>35</v>
      </c>
      <c r="H148" t="s">
        <v>35</v>
      </c>
      <c r="I148" t="s">
        <v>35</v>
      </c>
      <c r="J148" t="s">
        <v>35</v>
      </c>
      <c r="K148">
        <v>0.85629999999999995</v>
      </c>
      <c r="L148" t="s">
        <v>35</v>
      </c>
      <c r="M148">
        <v>3.0099999999999998E-2</v>
      </c>
      <c r="N148">
        <v>0.11360000000000001</v>
      </c>
      <c r="O148">
        <v>74</v>
      </c>
      <c r="P148">
        <v>0.65249999999999997</v>
      </c>
      <c r="Q148" t="s">
        <v>35</v>
      </c>
      <c r="R148" t="s">
        <v>35</v>
      </c>
      <c r="S148" t="s">
        <v>35</v>
      </c>
      <c r="T148" t="s">
        <v>35</v>
      </c>
      <c r="U148" t="s">
        <v>35</v>
      </c>
      <c r="V148">
        <v>1</v>
      </c>
      <c r="W148" t="s">
        <v>35</v>
      </c>
      <c r="X148" t="s">
        <v>35</v>
      </c>
      <c r="Y148">
        <v>7.4999999999999997E-2</v>
      </c>
      <c r="Z148">
        <v>0.02</v>
      </c>
      <c r="AA148">
        <v>0</v>
      </c>
      <c r="AB148">
        <v>0.83299999999999996</v>
      </c>
      <c r="AC148">
        <v>20</v>
      </c>
      <c r="AD148">
        <v>1100</v>
      </c>
      <c r="AE148">
        <v>15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1</v>
      </c>
      <c r="AL148">
        <f t="shared" si="7"/>
        <v>0.3</v>
      </c>
      <c r="AM148">
        <v>0.63</v>
      </c>
    </row>
    <row r="149" spans="1:39" x14ac:dyDescent="0.25">
      <c r="A149" s="3" t="s">
        <v>169</v>
      </c>
      <c r="B149" t="s">
        <v>140</v>
      </c>
      <c r="C149">
        <v>74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>
        <v>0.85629999999999995</v>
      </c>
      <c r="L149" t="s">
        <v>35</v>
      </c>
      <c r="M149">
        <v>3.0099999999999998E-2</v>
      </c>
      <c r="N149">
        <v>0.11360000000000001</v>
      </c>
      <c r="O149">
        <v>74</v>
      </c>
      <c r="P149">
        <v>0.65249999999999997</v>
      </c>
      <c r="Q149" t="s">
        <v>35</v>
      </c>
      <c r="R149" t="s">
        <v>35</v>
      </c>
      <c r="S149" t="s">
        <v>35</v>
      </c>
      <c r="T149" t="s">
        <v>35</v>
      </c>
      <c r="U149" t="s">
        <v>35</v>
      </c>
      <c r="V149">
        <v>1</v>
      </c>
      <c r="W149" t="s">
        <v>35</v>
      </c>
      <c r="X149" t="s">
        <v>35</v>
      </c>
      <c r="Y149">
        <v>7.4999999999999997E-2</v>
      </c>
      <c r="Z149">
        <v>0.02</v>
      </c>
      <c r="AA149">
        <v>0</v>
      </c>
      <c r="AB149">
        <v>0.83299999999999996</v>
      </c>
      <c r="AC149">
        <v>20</v>
      </c>
      <c r="AD149">
        <v>1100</v>
      </c>
      <c r="AE149">
        <v>30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f t="shared" si="7"/>
        <v>0.3</v>
      </c>
      <c r="AM149">
        <v>0.8</v>
      </c>
    </row>
    <row r="150" spans="1:39" x14ac:dyDescent="0.25">
      <c r="A150" s="3" t="s">
        <v>169</v>
      </c>
      <c r="B150" t="s">
        <v>141</v>
      </c>
      <c r="C150">
        <v>74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>
        <v>0.85629999999999995</v>
      </c>
      <c r="L150" t="s">
        <v>35</v>
      </c>
      <c r="M150">
        <v>3.0099999999999998E-2</v>
      </c>
      <c r="N150">
        <v>0.11360000000000001</v>
      </c>
      <c r="O150">
        <v>74</v>
      </c>
      <c r="P150">
        <v>0.65249999999999997</v>
      </c>
      <c r="Q150" t="s">
        <v>35</v>
      </c>
      <c r="R150" t="s">
        <v>35</v>
      </c>
      <c r="S150" t="s">
        <v>35</v>
      </c>
      <c r="T150" t="s">
        <v>35</v>
      </c>
      <c r="U150" t="s">
        <v>35</v>
      </c>
      <c r="V150">
        <v>1</v>
      </c>
      <c r="W150" t="s">
        <v>35</v>
      </c>
      <c r="X150" t="s">
        <v>35</v>
      </c>
      <c r="Y150">
        <v>7.4999999999999997E-2</v>
      </c>
      <c r="Z150">
        <v>0.02</v>
      </c>
      <c r="AA150">
        <v>0</v>
      </c>
      <c r="AB150">
        <v>0.83299999999999996</v>
      </c>
      <c r="AC150">
        <v>20</v>
      </c>
      <c r="AD150">
        <v>1100</v>
      </c>
      <c r="AE150">
        <v>45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1</v>
      </c>
      <c r="AL150">
        <f t="shared" si="7"/>
        <v>0.3</v>
      </c>
      <c r="AM150">
        <v>0.85</v>
      </c>
    </row>
    <row r="151" spans="1:39" x14ac:dyDescent="0.25">
      <c r="A151" s="3" t="s">
        <v>169</v>
      </c>
      <c r="B151" t="s">
        <v>142</v>
      </c>
      <c r="C151">
        <v>74</v>
      </c>
      <c r="D151" t="s">
        <v>35</v>
      </c>
      <c r="E151" t="s">
        <v>35</v>
      </c>
      <c r="F151" t="s">
        <v>35</v>
      </c>
      <c r="G151" t="s">
        <v>35</v>
      </c>
      <c r="H151" t="s">
        <v>35</v>
      </c>
      <c r="I151" t="s">
        <v>35</v>
      </c>
      <c r="J151" t="s">
        <v>35</v>
      </c>
      <c r="K151">
        <v>0.85629999999999995</v>
      </c>
      <c r="L151" t="s">
        <v>35</v>
      </c>
      <c r="M151">
        <v>3.0099999999999998E-2</v>
      </c>
      <c r="N151">
        <v>0.11360000000000001</v>
      </c>
      <c r="O151">
        <v>74</v>
      </c>
      <c r="P151">
        <v>0.65249999999999997</v>
      </c>
      <c r="Q151" t="s">
        <v>35</v>
      </c>
      <c r="R151" t="s">
        <v>35</v>
      </c>
      <c r="S151" t="s">
        <v>35</v>
      </c>
      <c r="T151" t="s">
        <v>35</v>
      </c>
      <c r="U151" t="s">
        <v>35</v>
      </c>
      <c r="V151">
        <v>1</v>
      </c>
      <c r="W151" t="s">
        <v>35</v>
      </c>
      <c r="X151" t="s">
        <v>35</v>
      </c>
      <c r="Y151">
        <v>7.4999999999999997E-2</v>
      </c>
      <c r="Z151">
        <v>0.02</v>
      </c>
      <c r="AA151">
        <v>0</v>
      </c>
      <c r="AB151">
        <v>0.83299999999999996</v>
      </c>
      <c r="AC151">
        <v>20</v>
      </c>
      <c r="AD151">
        <v>1100</v>
      </c>
      <c r="AE151">
        <v>60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1</v>
      </c>
      <c r="AL151">
        <f t="shared" si="7"/>
        <v>0.3</v>
      </c>
      <c r="AM151">
        <v>0.87</v>
      </c>
    </row>
    <row r="152" spans="1:39" x14ac:dyDescent="0.25">
      <c r="A152" s="3" t="s">
        <v>169</v>
      </c>
      <c r="B152" t="s">
        <v>143</v>
      </c>
      <c r="C152">
        <v>74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>
        <v>0.85629999999999995</v>
      </c>
      <c r="L152" t="s">
        <v>35</v>
      </c>
      <c r="M152">
        <v>3.0099999999999998E-2</v>
      </c>
      <c r="N152">
        <v>0.11360000000000001</v>
      </c>
      <c r="O152">
        <v>74</v>
      </c>
      <c r="P152">
        <v>0.65249999999999997</v>
      </c>
      <c r="Q152" t="s">
        <v>35</v>
      </c>
      <c r="R152" t="s">
        <v>35</v>
      </c>
      <c r="S152" t="s">
        <v>35</v>
      </c>
      <c r="T152" t="s">
        <v>35</v>
      </c>
      <c r="U152" t="s">
        <v>35</v>
      </c>
      <c r="V152">
        <v>1</v>
      </c>
      <c r="W152" t="s">
        <v>35</v>
      </c>
      <c r="X152" t="s">
        <v>35</v>
      </c>
      <c r="Y152">
        <v>7.4999999999999997E-2</v>
      </c>
      <c r="Z152">
        <v>0.02</v>
      </c>
      <c r="AA152">
        <v>0</v>
      </c>
      <c r="AB152">
        <v>0.83299999999999996</v>
      </c>
      <c r="AC152">
        <v>20</v>
      </c>
      <c r="AD152">
        <v>1100</v>
      </c>
      <c r="AE152">
        <v>90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f t="shared" si="7"/>
        <v>0.3</v>
      </c>
      <c r="AM152">
        <v>0.88</v>
      </c>
    </row>
    <row r="153" spans="1:39" x14ac:dyDescent="0.25">
      <c r="A153" s="3" t="s">
        <v>169</v>
      </c>
      <c r="B153" t="s">
        <v>144</v>
      </c>
      <c r="C153">
        <v>74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>
        <v>0.85629999999999995</v>
      </c>
      <c r="L153" t="s">
        <v>35</v>
      </c>
      <c r="M153">
        <v>3.0099999999999998E-2</v>
      </c>
      <c r="N153">
        <v>0.11360000000000001</v>
      </c>
      <c r="O153">
        <v>74</v>
      </c>
      <c r="P153">
        <v>0.65249999999999997</v>
      </c>
      <c r="Q153" t="s">
        <v>35</v>
      </c>
      <c r="R153" t="s">
        <v>35</v>
      </c>
      <c r="S153" t="s">
        <v>35</v>
      </c>
      <c r="T153" t="s">
        <v>35</v>
      </c>
      <c r="U153" t="s">
        <v>35</v>
      </c>
      <c r="V153">
        <v>1</v>
      </c>
      <c r="W153" t="s">
        <v>35</v>
      </c>
      <c r="X153" t="s">
        <v>35</v>
      </c>
      <c r="Y153">
        <v>7.4999999999999997E-2</v>
      </c>
      <c r="Z153">
        <v>0.02</v>
      </c>
      <c r="AA153">
        <v>0</v>
      </c>
      <c r="AB153">
        <v>0.83299999999999996</v>
      </c>
      <c r="AC153">
        <v>20</v>
      </c>
      <c r="AD153">
        <v>1200</v>
      </c>
      <c r="AE153">
        <v>15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f t="shared" si="7"/>
        <v>0.3</v>
      </c>
      <c r="AM153">
        <v>0.75</v>
      </c>
    </row>
    <row r="154" spans="1:39" x14ac:dyDescent="0.25">
      <c r="A154" s="3" t="s">
        <v>169</v>
      </c>
      <c r="B154" t="s">
        <v>145</v>
      </c>
      <c r="C154">
        <v>74</v>
      </c>
      <c r="D154" t="s">
        <v>35</v>
      </c>
      <c r="E154" t="s">
        <v>35</v>
      </c>
      <c r="F154" t="s">
        <v>35</v>
      </c>
      <c r="G154" t="s">
        <v>35</v>
      </c>
      <c r="H154" t="s">
        <v>35</v>
      </c>
      <c r="I154" t="s">
        <v>35</v>
      </c>
      <c r="J154" t="s">
        <v>35</v>
      </c>
      <c r="K154">
        <v>0.85629999999999995</v>
      </c>
      <c r="L154" t="s">
        <v>35</v>
      </c>
      <c r="M154">
        <v>3.0099999999999998E-2</v>
      </c>
      <c r="N154">
        <v>0.11360000000000001</v>
      </c>
      <c r="O154">
        <v>74</v>
      </c>
      <c r="P154">
        <v>0.65249999999999997</v>
      </c>
      <c r="Q154" t="s">
        <v>35</v>
      </c>
      <c r="R154" t="s">
        <v>35</v>
      </c>
      <c r="S154" t="s">
        <v>35</v>
      </c>
      <c r="T154" t="s">
        <v>35</v>
      </c>
      <c r="U154" t="s">
        <v>35</v>
      </c>
      <c r="V154">
        <v>1</v>
      </c>
      <c r="W154" t="s">
        <v>35</v>
      </c>
      <c r="X154" t="s">
        <v>35</v>
      </c>
      <c r="Y154">
        <v>7.4999999999999997E-2</v>
      </c>
      <c r="Z154">
        <v>0.02</v>
      </c>
      <c r="AA154">
        <v>0</v>
      </c>
      <c r="AB154">
        <v>0.83299999999999996</v>
      </c>
      <c r="AC154">
        <v>20</v>
      </c>
      <c r="AD154">
        <v>1200</v>
      </c>
      <c r="AE154">
        <v>30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f t="shared" si="7"/>
        <v>0.3</v>
      </c>
      <c r="AM154">
        <v>0.89</v>
      </c>
    </row>
    <row r="155" spans="1:39" x14ac:dyDescent="0.25">
      <c r="A155" s="3" t="s">
        <v>169</v>
      </c>
      <c r="B155" t="s">
        <v>146</v>
      </c>
      <c r="C155">
        <v>74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>
        <v>0.85629999999999995</v>
      </c>
      <c r="L155" t="s">
        <v>35</v>
      </c>
      <c r="M155">
        <v>3.0099999999999998E-2</v>
      </c>
      <c r="N155">
        <v>0.11360000000000001</v>
      </c>
      <c r="O155">
        <v>74</v>
      </c>
      <c r="P155">
        <v>0.65249999999999997</v>
      </c>
      <c r="Q155" t="s">
        <v>35</v>
      </c>
      <c r="R155" t="s">
        <v>35</v>
      </c>
      <c r="S155" t="s">
        <v>35</v>
      </c>
      <c r="T155" t="s">
        <v>35</v>
      </c>
      <c r="U155" t="s">
        <v>35</v>
      </c>
      <c r="V155">
        <v>1</v>
      </c>
      <c r="W155" t="s">
        <v>35</v>
      </c>
      <c r="X155" t="s">
        <v>35</v>
      </c>
      <c r="Y155">
        <v>7.4999999999999997E-2</v>
      </c>
      <c r="Z155">
        <v>0.02</v>
      </c>
      <c r="AA155">
        <v>0</v>
      </c>
      <c r="AB155">
        <v>0.83299999999999996</v>
      </c>
      <c r="AC155">
        <v>20</v>
      </c>
      <c r="AD155">
        <v>1200</v>
      </c>
      <c r="AE155">
        <v>45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f t="shared" si="7"/>
        <v>0.3</v>
      </c>
      <c r="AM155">
        <v>0.92</v>
      </c>
    </row>
    <row r="156" spans="1:39" x14ac:dyDescent="0.25">
      <c r="A156" s="3" t="s">
        <v>169</v>
      </c>
      <c r="B156" t="s">
        <v>147</v>
      </c>
      <c r="C156">
        <v>74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>
        <v>0.85629999999999995</v>
      </c>
      <c r="L156" t="s">
        <v>35</v>
      </c>
      <c r="M156">
        <v>3.0099999999999998E-2</v>
      </c>
      <c r="N156">
        <v>0.11360000000000001</v>
      </c>
      <c r="O156">
        <v>74</v>
      </c>
      <c r="P156">
        <v>0.65249999999999997</v>
      </c>
      <c r="Q156" t="s">
        <v>35</v>
      </c>
      <c r="R156" t="s">
        <v>35</v>
      </c>
      <c r="S156" t="s">
        <v>35</v>
      </c>
      <c r="T156" t="s">
        <v>35</v>
      </c>
      <c r="U156" t="s">
        <v>35</v>
      </c>
      <c r="V156">
        <v>1</v>
      </c>
      <c r="W156" t="s">
        <v>35</v>
      </c>
      <c r="X156" t="s">
        <v>35</v>
      </c>
      <c r="Y156">
        <v>7.4999999999999997E-2</v>
      </c>
      <c r="Z156">
        <v>0.02</v>
      </c>
      <c r="AA156">
        <v>0</v>
      </c>
      <c r="AB156">
        <v>0.83299999999999996</v>
      </c>
      <c r="AC156">
        <v>20</v>
      </c>
      <c r="AD156">
        <v>1200</v>
      </c>
      <c r="AE156">
        <v>60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1</v>
      </c>
      <c r="AL156">
        <f t="shared" si="7"/>
        <v>0.3</v>
      </c>
      <c r="AM156">
        <v>0.93</v>
      </c>
    </row>
    <row r="157" spans="1:39" x14ac:dyDescent="0.25">
      <c r="A157" s="3" t="s">
        <v>169</v>
      </c>
      <c r="B157" t="s">
        <v>148</v>
      </c>
      <c r="C157">
        <v>74</v>
      </c>
      <c r="D157" t="s">
        <v>35</v>
      </c>
      <c r="E157" t="s">
        <v>35</v>
      </c>
      <c r="F157" t="s">
        <v>35</v>
      </c>
      <c r="G157" t="s">
        <v>35</v>
      </c>
      <c r="H157" t="s">
        <v>35</v>
      </c>
      <c r="I157" t="s">
        <v>35</v>
      </c>
      <c r="J157" t="s">
        <v>35</v>
      </c>
      <c r="K157">
        <v>0.85629999999999995</v>
      </c>
      <c r="L157" t="s">
        <v>35</v>
      </c>
      <c r="M157">
        <v>3.0099999999999998E-2</v>
      </c>
      <c r="N157">
        <v>0.11360000000000001</v>
      </c>
      <c r="O157">
        <v>74</v>
      </c>
      <c r="P157">
        <v>0.65249999999999997</v>
      </c>
      <c r="Q157" t="s">
        <v>35</v>
      </c>
      <c r="R157" t="s">
        <v>35</v>
      </c>
      <c r="S157" t="s">
        <v>35</v>
      </c>
      <c r="T157" t="s">
        <v>35</v>
      </c>
      <c r="U157" t="s">
        <v>35</v>
      </c>
      <c r="V157">
        <v>1</v>
      </c>
      <c r="W157" t="s">
        <v>35</v>
      </c>
      <c r="X157" t="s">
        <v>35</v>
      </c>
      <c r="Y157">
        <v>7.4999999999999997E-2</v>
      </c>
      <c r="Z157">
        <v>0.02</v>
      </c>
      <c r="AA157">
        <v>0</v>
      </c>
      <c r="AB157">
        <v>0.83299999999999996</v>
      </c>
      <c r="AC157">
        <v>20</v>
      </c>
      <c r="AD157">
        <v>1200</v>
      </c>
      <c r="AE157">
        <v>90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f t="shared" si="7"/>
        <v>0.3</v>
      </c>
      <c r="AM157">
        <v>0.95</v>
      </c>
    </row>
    <row r="158" spans="1:39" x14ac:dyDescent="0.25">
      <c r="A158" s="3" t="s">
        <v>169</v>
      </c>
      <c r="B158" t="s">
        <v>149</v>
      </c>
      <c r="C158">
        <v>74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>
        <v>0.82330000000000003</v>
      </c>
      <c r="L158" t="s">
        <v>35</v>
      </c>
      <c r="M158">
        <v>2.1499999999999998E-2</v>
      </c>
      <c r="N158">
        <v>0.1552</v>
      </c>
      <c r="O158">
        <v>74</v>
      </c>
      <c r="P158">
        <v>0.65249999999999997</v>
      </c>
      <c r="Q158" t="s">
        <v>35</v>
      </c>
      <c r="R158" t="s">
        <v>35</v>
      </c>
      <c r="S158" t="s">
        <v>35</v>
      </c>
      <c r="T158" t="s">
        <v>35</v>
      </c>
      <c r="U158" t="s">
        <v>35</v>
      </c>
      <c r="V158">
        <v>1</v>
      </c>
      <c r="W158" t="s">
        <v>35</v>
      </c>
      <c r="X158" t="s">
        <v>35</v>
      </c>
      <c r="Y158">
        <v>7.4999999999999997E-2</v>
      </c>
      <c r="Z158">
        <v>0.02</v>
      </c>
      <c r="AA158">
        <v>0</v>
      </c>
      <c r="AB158">
        <v>0.83299999999999996</v>
      </c>
      <c r="AC158">
        <v>20</v>
      </c>
      <c r="AD158">
        <v>900</v>
      </c>
      <c r="AE158">
        <v>15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1</v>
      </c>
      <c r="AL158">
        <f t="shared" si="7"/>
        <v>0.3</v>
      </c>
      <c r="AM158">
        <v>0.32500000000000001</v>
      </c>
    </row>
    <row r="159" spans="1:39" x14ac:dyDescent="0.25">
      <c r="A159" s="3" t="s">
        <v>169</v>
      </c>
      <c r="B159" t="s">
        <v>150</v>
      </c>
      <c r="C159">
        <v>74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>
        <v>0.82330000000000003</v>
      </c>
      <c r="L159" t="s">
        <v>35</v>
      </c>
      <c r="M159">
        <v>2.1499999999999998E-2</v>
      </c>
      <c r="N159">
        <v>0.1552</v>
      </c>
      <c r="O159">
        <v>74</v>
      </c>
      <c r="P159">
        <v>0.65249999999999997</v>
      </c>
      <c r="Q159" t="s">
        <v>35</v>
      </c>
      <c r="R159" t="s">
        <v>35</v>
      </c>
      <c r="S159" t="s">
        <v>35</v>
      </c>
      <c r="T159" t="s">
        <v>35</v>
      </c>
      <c r="U159" t="s">
        <v>35</v>
      </c>
      <c r="V159">
        <v>1</v>
      </c>
      <c r="W159" t="s">
        <v>35</v>
      </c>
      <c r="X159" t="s">
        <v>35</v>
      </c>
      <c r="Y159">
        <v>7.4999999999999997E-2</v>
      </c>
      <c r="Z159">
        <v>0.02</v>
      </c>
      <c r="AA159">
        <v>0</v>
      </c>
      <c r="AB159">
        <v>0.83299999999999996</v>
      </c>
      <c r="AC159">
        <v>20</v>
      </c>
      <c r="AD159">
        <v>900</v>
      </c>
      <c r="AE159">
        <v>30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f t="shared" si="7"/>
        <v>0.3</v>
      </c>
      <c r="AM159">
        <v>0.5</v>
      </c>
    </row>
    <row r="160" spans="1:39" x14ac:dyDescent="0.25">
      <c r="A160" s="3" t="s">
        <v>169</v>
      </c>
      <c r="B160" t="s">
        <v>151</v>
      </c>
      <c r="C160">
        <v>74</v>
      </c>
      <c r="D160" t="s">
        <v>35</v>
      </c>
      <c r="E160" t="s">
        <v>35</v>
      </c>
      <c r="F160" t="s">
        <v>35</v>
      </c>
      <c r="G160" t="s">
        <v>35</v>
      </c>
      <c r="H160" t="s">
        <v>35</v>
      </c>
      <c r="I160" t="s">
        <v>35</v>
      </c>
      <c r="J160" t="s">
        <v>35</v>
      </c>
      <c r="K160">
        <v>0.82330000000000003</v>
      </c>
      <c r="L160" t="s">
        <v>35</v>
      </c>
      <c r="M160">
        <v>2.1499999999999998E-2</v>
      </c>
      <c r="N160">
        <v>0.1552</v>
      </c>
      <c r="O160">
        <v>74</v>
      </c>
      <c r="P160">
        <v>0.65249999999999997</v>
      </c>
      <c r="Q160" t="s">
        <v>35</v>
      </c>
      <c r="R160" t="s">
        <v>35</v>
      </c>
      <c r="S160" t="s">
        <v>35</v>
      </c>
      <c r="T160" t="s">
        <v>35</v>
      </c>
      <c r="U160" t="s">
        <v>35</v>
      </c>
      <c r="V160">
        <v>1</v>
      </c>
      <c r="W160" t="s">
        <v>35</v>
      </c>
      <c r="X160" t="s">
        <v>35</v>
      </c>
      <c r="Y160">
        <v>7.4999999999999997E-2</v>
      </c>
      <c r="Z160">
        <v>0.02</v>
      </c>
      <c r="AA160">
        <v>0</v>
      </c>
      <c r="AB160">
        <v>0.83299999999999996</v>
      </c>
      <c r="AC160">
        <v>20</v>
      </c>
      <c r="AD160">
        <v>900</v>
      </c>
      <c r="AE160">
        <v>45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f t="shared" si="7"/>
        <v>0.3</v>
      </c>
      <c r="AM160">
        <v>0.57999999999999996</v>
      </c>
    </row>
    <row r="161" spans="1:39" x14ac:dyDescent="0.25">
      <c r="A161" s="3" t="s">
        <v>169</v>
      </c>
      <c r="B161" t="s">
        <v>152</v>
      </c>
      <c r="C161">
        <v>74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>
        <v>0.82330000000000003</v>
      </c>
      <c r="L161" t="s">
        <v>35</v>
      </c>
      <c r="M161">
        <v>2.1499999999999998E-2</v>
      </c>
      <c r="N161">
        <v>0.1552</v>
      </c>
      <c r="O161">
        <v>74</v>
      </c>
      <c r="P161">
        <v>0.65249999999999997</v>
      </c>
      <c r="Q161" t="s">
        <v>35</v>
      </c>
      <c r="R161" t="s">
        <v>35</v>
      </c>
      <c r="S161" t="s">
        <v>35</v>
      </c>
      <c r="T161" t="s">
        <v>35</v>
      </c>
      <c r="U161" t="s">
        <v>35</v>
      </c>
      <c r="V161">
        <v>1</v>
      </c>
      <c r="W161" t="s">
        <v>35</v>
      </c>
      <c r="X161" t="s">
        <v>35</v>
      </c>
      <c r="Y161">
        <v>7.4999999999999997E-2</v>
      </c>
      <c r="Z161">
        <v>0.02</v>
      </c>
      <c r="AA161">
        <v>0</v>
      </c>
      <c r="AB161">
        <v>0.83299999999999996</v>
      </c>
      <c r="AC161">
        <v>20</v>
      </c>
      <c r="AD161">
        <v>900</v>
      </c>
      <c r="AE161">
        <v>60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f t="shared" si="7"/>
        <v>0.3</v>
      </c>
      <c r="AM161">
        <v>0.625</v>
      </c>
    </row>
    <row r="162" spans="1:39" x14ac:dyDescent="0.25">
      <c r="A162" s="3" t="s">
        <v>169</v>
      </c>
      <c r="B162" t="s">
        <v>153</v>
      </c>
      <c r="C162">
        <v>74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>
        <v>0.82330000000000003</v>
      </c>
      <c r="L162" t="s">
        <v>35</v>
      </c>
      <c r="M162">
        <v>2.1499999999999998E-2</v>
      </c>
      <c r="N162">
        <v>0.1552</v>
      </c>
      <c r="O162">
        <v>74</v>
      </c>
      <c r="P162">
        <v>0.65249999999999997</v>
      </c>
      <c r="Q162" t="s">
        <v>35</v>
      </c>
      <c r="R162" t="s">
        <v>35</v>
      </c>
      <c r="S162" t="s">
        <v>35</v>
      </c>
      <c r="T162" t="s">
        <v>35</v>
      </c>
      <c r="U162" t="s">
        <v>35</v>
      </c>
      <c r="V162">
        <v>1</v>
      </c>
      <c r="W162" t="s">
        <v>35</v>
      </c>
      <c r="X162" t="s">
        <v>35</v>
      </c>
      <c r="Y162">
        <v>7.4999999999999997E-2</v>
      </c>
      <c r="Z162">
        <v>0.02</v>
      </c>
      <c r="AA162">
        <v>0</v>
      </c>
      <c r="AB162">
        <v>0.83299999999999996</v>
      </c>
      <c r="AC162">
        <v>20</v>
      </c>
      <c r="AD162">
        <v>900</v>
      </c>
      <c r="AE162">
        <v>90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1</v>
      </c>
      <c r="AL162">
        <f t="shared" si="7"/>
        <v>0.3</v>
      </c>
      <c r="AM162">
        <v>0.625</v>
      </c>
    </row>
    <row r="163" spans="1:39" x14ac:dyDescent="0.25">
      <c r="A163" s="3" t="s">
        <v>169</v>
      </c>
      <c r="B163" t="s">
        <v>154</v>
      </c>
      <c r="C163">
        <v>74</v>
      </c>
      <c r="D163" t="s">
        <v>35</v>
      </c>
      <c r="E163" t="s">
        <v>35</v>
      </c>
      <c r="F163" t="s">
        <v>35</v>
      </c>
      <c r="G163" t="s">
        <v>35</v>
      </c>
      <c r="H163" t="s">
        <v>35</v>
      </c>
      <c r="I163" t="s">
        <v>35</v>
      </c>
      <c r="J163" t="s">
        <v>35</v>
      </c>
      <c r="K163">
        <v>0.82330000000000003</v>
      </c>
      <c r="L163" t="s">
        <v>35</v>
      </c>
      <c r="M163">
        <v>2.1499999999999998E-2</v>
      </c>
      <c r="N163">
        <v>0.1552</v>
      </c>
      <c r="O163">
        <v>74</v>
      </c>
      <c r="P163">
        <v>0.65249999999999997</v>
      </c>
      <c r="Q163" t="s">
        <v>35</v>
      </c>
      <c r="R163" t="s">
        <v>35</v>
      </c>
      <c r="S163" t="s">
        <v>35</v>
      </c>
      <c r="T163" t="s">
        <v>35</v>
      </c>
      <c r="U163" t="s">
        <v>35</v>
      </c>
      <c r="V163">
        <v>1</v>
      </c>
      <c r="W163" t="s">
        <v>35</v>
      </c>
      <c r="X163" t="s">
        <v>35</v>
      </c>
      <c r="Y163">
        <v>7.4999999999999997E-2</v>
      </c>
      <c r="Z163">
        <v>0.02</v>
      </c>
      <c r="AA163">
        <v>0</v>
      </c>
      <c r="AB163">
        <v>0.83299999999999996</v>
      </c>
      <c r="AC163">
        <v>20</v>
      </c>
      <c r="AD163">
        <v>1000</v>
      </c>
      <c r="AE163">
        <v>15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f t="shared" si="7"/>
        <v>0.3</v>
      </c>
      <c r="AM163">
        <v>0.55000000000000004</v>
      </c>
    </row>
    <row r="164" spans="1:39" x14ac:dyDescent="0.25">
      <c r="A164" s="3" t="s">
        <v>169</v>
      </c>
      <c r="B164" t="s">
        <v>155</v>
      </c>
      <c r="C164">
        <v>74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>
        <v>0.82330000000000003</v>
      </c>
      <c r="L164" t="s">
        <v>35</v>
      </c>
      <c r="M164">
        <v>2.1499999999999998E-2</v>
      </c>
      <c r="N164">
        <v>0.1552</v>
      </c>
      <c r="O164">
        <v>74</v>
      </c>
      <c r="P164">
        <v>0.65249999999999997</v>
      </c>
      <c r="Q164" t="s">
        <v>35</v>
      </c>
      <c r="R164" t="s">
        <v>35</v>
      </c>
      <c r="S164" t="s">
        <v>35</v>
      </c>
      <c r="T164" t="s">
        <v>35</v>
      </c>
      <c r="U164" t="s">
        <v>35</v>
      </c>
      <c r="V164">
        <v>1</v>
      </c>
      <c r="W164" t="s">
        <v>35</v>
      </c>
      <c r="X164" t="s">
        <v>35</v>
      </c>
      <c r="Y164">
        <v>7.4999999999999997E-2</v>
      </c>
      <c r="Z164">
        <v>0.02</v>
      </c>
      <c r="AA164">
        <v>0</v>
      </c>
      <c r="AB164">
        <v>0.83299999999999996</v>
      </c>
      <c r="AC164">
        <v>20</v>
      </c>
      <c r="AD164">
        <v>1000</v>
      </c>
      <c r="AE164">
        <v>30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f t="shared" si="7"/>
        <v>0.3</v>
      </c>
      <c r="AM164">
        <v>0.64</v>
      </c>
    </row>
    <row r="165" spans="1:39" x14ac:dyDescent="0.25">
      <c r="A165" s="3" t="s">
        <v>169</v>
      </c>
      <c r="B165" t="s">
        <v>156</v>
      </c>
      <c r="C165">
        <v>74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>
        <v>0.82330000000000003</v>
      </c>
      <c r="L165" t="s">
        <v>35</v>
      </c>
      <c r="M165">
        <v>2.1499999999999998E-2</v>
      </c>
      <c r="N165">
        <v>0.1552</v>
      </c>
      <c r="O165">
        <v>74</v>
      </c>
      <c r="P165">
        <v>0.65249999999999997</v>
      </c>
      <c r="Q165" t="s">
        <v>35</v>
      </c>
      <c r="R165" t="s">
        <v>35</v>
      </c>
      <c r="S165" t="s">
        <v>35</v>
      </c>
      <c r="T165" t="s">
        <v>35</v>
      </c>
      <c r="U165" t="s">
        <v>35</v>
      </c>
      <c r="V165">
        <v>1</v>
      </c>
      <c r="W165" t="s">
        <v>35</v>
      </c>
      <c r="X165" t="s">
        <v>35</v>
      </c>
      <c r="Y165">
        <v>7.4999999999999997E-2</v>
      </c>
      <c r="Z165">
        <v>0.02</v>
      </c>
      <c r="AA165">
        <v>0</v>
      </c>
      <c r="AB165">
        <v>0.83299999999999996</v>
      </c>
      <c r="AC165">
        <v>20</v>
      </c>
      <c r="AD165">
        <v>1000</v>
      </c>
      <c r="AE165">
        <v>45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1</v>
      </c>
      <c r="AL165">
        <f t="shared" si="7"/>
        <v>0.3</v>
      </c>
      <c r="AM165">
        <v>0.78</v>
      </c>
    </row>
    <row r="166" spans="1:39" x14ac:dyDescent="0.25">
      <c r="A166" s="3" t="s">
        <v>169</v>
      </c>
      <c r="B166" t="s">
        <v>157</v>
      </c>
      <c r="C166">
        <v>74</v>
      </c>
      <c r="D166" t="s">
        <v>35</v>
      </c>
      <c r="E166" t="s">
        <v>35</v>
      </c>
      <c r="F166" t="s">
        <v>35</v>
      </c>
      <c r="G166" t="s">
        <v>35</v>
      </c>
      <c r="H166" t="s">
        <v>35</v>
      </c>
      <c r="I166" t="s">
        <v>35</v>
      </c>
      <c r="J166" t="s">
        <v>35</v>
      </c>
      <c r="K166">
        <v>0.82330000000000003</v>
      </c>
      <c r="L166" t="s">
        <v>35</v>
      </c>
      <c r="M166">
        <v>2.1499999999999998E-2</v>
      </c>
      <c r="N166">
        <v>0.1552</v>
      </c>
      <c r="O166">
        <v>74</v>
      </c>
      <c r="P166">
        <v>0.65249999999999997</v>
      </c>
      <c r="Q166" t="s">
        <v>35</v>
      </c>
      <c r="R166" t="s">
        <v>35</v>
      </c>
      <c r="S166" t="s">
        <v>35</v>
      </c>
      <c r="T166" t="s">
        <v>35</v>
      </c>
      <c r="U166" t="s">
        <v>35</v>
      </c>
      <c r="V166">
        <v>1</v>
      </c>
      <c r="W166" t="s">
        <v>35</v>
      </c>
      <c r="X166" t="s">
        <v>35</v>
      </c>
      <c r="Y166">
        <v>7.4999999999999997E-2</v>
      </c>
      <c r="Z166">
        <v>0.02</v>
      </c>
      <c r="AA166">
        <v>0</v>
      </c>
      <c r="AB166">
        <v>0.83299999999999996</v>
      </c>
      <c r="AC166">
        <v>20</v>
      </c>
      <c r="AD166">
        <v>1000</v>
      </c>
      <c r="AE166">
        <v>60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f t="shared" si="7"/>
        <v>0.3</v>
      </c>
      <c r="AM166">
        <v>0.82499999999999996</v>
      </c>
    </row>
    <row r="167" spans="1:39" x14ac:dyDescent="0.25">
      <c r="A167" s="3" t="s">
        <v>169</v>
      </c>
      <c r="B167" t="s">
        <v>158</v>
      </c>
      <c r="C167">
        <v>74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>
        <v>0.82330000000000003</v>
      </c>
      <c r="L167" t="s">
        <v>35</v>
      </c>
      <c r="M167">
        <v>2.1499999999999998E-2</v>
      </c>
      <c r="N167">
        <v>0.1552</v>
      </c>
      <c r="O167">
        <v>74</v>
      </c>
      <c r="P167">
        <v>0.65249999999999997</v>
      </c>
      <c r="Q167" t="s">
        <v>35</v>
      </c>
      <c r="R167" t="s">
        <v>35</v>
      </c>
      <c r="S167" t="s">
        <v>35</v>
      </c>
      <c r="T167" t="s">
        <v>35</v>
      </c>
      <c r="U167" t="s">
        <v>35</v>
      </c>
      <c r="V167">
        <v>1</v>
      </c>
      <c r="W167" t="s">
        <v>35</v>
      </c>
      <c r="X167" t="s">
        <v>35</v>
      </c>
      <c r="Y167">
        <v>7.4999999999999997E-2</v>
      </c>
      <c r="Z167">
        <v>0.02</v>
      </c>
      <c r="AA167">
        <v>0</v>
      </c>
      <c r="AB167">
        <v>0.83299999999999996</v>
      </c>
      <c r="AC167">
        <v>20</v>
      </c>
      <c r="AD167">
        <v>1000</v>
      </c>
      <c r="AE167">
        <v>90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1</v>
      </c>
      <c r="AL167">
        <f t="shared" si="7"/>
        <v>0.3</v>
      </c>
      <c r="AM167">
        <v>0.85</v>
      </c>
    </row>
    <row r="168" spans="1:39" x14ac:dyDescent="0.25">
      <c r="A168" s="3" t="s">
        <v>169</v>
      </c>
      <c r="B168" t="s">
        <v>160</v>
      </c>
      <c r="C168">
        <v>74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>
        <v>0.82330000000000003</v>
      </c>
      <c r="L168" t="s">
        <v>35</v>
      </c>
      <c r="M168">
        <v>2.1499999999999998E-2</v>
      </c>
      <c r="N168">
        <v>0.1552</v>
      </c>
      <c r="O168">
        <v>74</v>
      </c>
      <c r="P168">
        <v>0.65249999999999997</v>
      </c>
      <c r="Q168" t="s">
        <v>35</v>
      </c>
      <c r="R168" t="s">
        <v>35</v>
      </c>
      <c r="S168" t="s">
        <v>35</v>
      </c>
      <c r="T168" t="s">
        <v>35</v>
      </c>
      <c r="U168" t="s">
        <v>35</v>
      </c>
      <c r="V168">
        <v>1</v>
      </c>
      <c r="W168" t="s">
        <v>35</v>
      </c>
      <c r="X168" t="s">
        <v>35</v>
      </c>
      <c r="Y168">
        <v>7.4999999999999997E-2</v>
      </c>
      <c r="Z168">
        <v>0.02</v>
      </c>
      <c r="AA168">
        <v>0</v>
      </c>
      <c r="AB168">
        <v>0.83299999999999996</v>
      </c>
      <c r="AC168">
        <v>20</v>
      </c>
      <c r="AD168">
        <v>1100</v>
      </c>
      <c r="AE168">
        <v>15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f t="shared" si="7"/>
        <v>0.3</v>
      </c>
      <c r="AM168">
        <v>0.66</v>
      </c>
    </row>
    <row r="169" spans="1:39" x14ac:dyDescent="0.25">
      <c r="A169" s="3" t="s">
        <v>169</v>
      </c>
      <c r="B169" t="s">
        <v>161</v>
      </c>
      <c r="C169">
        <v>74</v>
      </c>
      <c r="D169" t="s">
        <v>35</v>
      </c>
      <c r="E169" t="s">
        <v>35</v>
      </c>
      <c r="F169" t="s">
        <v>35</v>
      </c>
      <c r="G169" t="s">
        <v>35</v>
      </c>
      <c r="H169" t="s">
        <v>35</v>
      </c>
      <c r="I169" t="s">
        <v>35</v>
      </c>
      <c r="J169" t="s">
        <v>35</v>
      </c>
      <c r="K169">
        <v>0.82330000000000003</v>
      </c>
      <c r="L169" t="s">
        <v>35</v>
      </c>
      <c r="M169">
        <v>2.1499999999999998E-2</v>
      </c>
      <c r="N169">
        <v>0.1552</v>
      </c>
      <c r="O169">
        <v>74</v>
      </c>
      <c r="P169">
        <v>0.65249999999999997</v>
      </c>
      <c r="Q169" t="s">
        <v>35</v>
      </c>
      <c r="R169" t="s">
        <v>35</v>
      </c>
      <c r="S169" t="s">
        <v>35</v>
      </c>
      <c r="T169" t="s">
        <v>35</v>
      </c>
      <c r="U169" t="s">
        <v>35</v>
      </c>
      <c r="V169">
        <v>1</v>
      </c>
      <c r="W169" t="s">
        <v>35</v>
      </c>
      <c r="X169" t="s">
        <v>35</v>
      </c>
      <c r="Y169">
        <v>7.4999999999999997E-2</v>
      </c>
      <c r="Z169">
        <v>0.02</v>
      </c>
      <c r="AA169">
        <v>0</v>
      </c>
      <c r="AB169">
        <v>0.83299999999999996</v>
      </c>
      <c r="AC169">
        <v>20</v>
      </c>
      <c r="AD169">
        <v>1100</v>
      </c>
      <c r="AE169">
        <v>30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1</v>
      </c>
      <c r="AL169">
        <f t="shared" si="7"/>
        <v>0.3</v>
      </c>
      <c r="AM169">
        <v>0.73</v>
      </c>
    </row>
    <row r="170" spans="1:39" x14ac:dyDescent="0.25">
      <c r="A170" s="3" t="s">
        <v>169</v>
      </c>
      <c r="B170" t="s">
        <v>162</v>
      </c>
      <c r="C170">
        <v>74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>
        <v>0.82330000000000003</v>
      </c>
      <c r="L170" t="s">
        <v>35</v>
      </c>
      <c r="M170">
        <v>2.1499999999999998E-2</v>
      </c>
      <c r="N170">
        <v>0.1552</v>
      </c>
      <c r="O170">
        <v>74</v>
      </c>
      <c r="P170">
        <v>0.65249999999999997</v>
      </c>
      <c r="Q170" t="s">
        <v>35</v>
      </c>
      <c r="R170" t="s">
        <v>35</v>
      </c>
      <c r="S170" t="s">
        <v>35</v>
      </c>
      <c r="T170" t="s">
        <v>35</v>
      </c>
      <c r="U170" t="s">
        <v>35</v>
      </c>
      <c r="V170">
        <v>1</v>
      </c>
      <c r="W170" t="s">
        <v>35</v>
      </c>
      <c r="X170" t="s">
        <v>35</v>
      </c>
      <c r="Y170">
        <v>7.4999999999999997E-2</v>
      </c>
      <c r="Z170">
        <v>0.02</v>
      </c>
      <c r="AA170">
        <v>0</v>
      </c>
      <c r="AB170">
        <v>0.83299999999999996</v>
      </c>
      <c r="AC170">
        <v>20</v>
      </c>
      <c r="AD170">
        <v>1100</v>
      </c>
      <c r="AE170">
        <v>45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f t="shared" si="7"/>
        <v>0.3</v>
      </c>
      <c r="AM170">
        <v>0.875</v>
      </c>
    </row>
    <row r="171" spans="1:39" x14ac:dyDescent="0.25">
      <c r="A171" s="3" t="s">
        <v>169</v>
      </c>
      <c r="B171" t="s">
        <v>163</v>
      </c>
      <c r="C171">
        <v>74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>
        <v>0.82330000000000003</v>
      </c>
      <c r="L171" t="s">
        <v>35</v>
      </c>
      <c r="M171">
        <v>2.1499999999999998E-2</v>
      </c>
      <c r="N171">
        <v>0.1552</v>
      </c>
      <c r="O171">
        <v>74</v>
      </c>
      <c r="P171">
        <v>0.65249999999999997</v>
      </c>
      <c r="Q171" t="s">
        <v>35</v>
      </c>
      <c r="R171" t="s">
        <v>35</v>
      </c>
      <c r="S171" t="s">
        <v>35</v>
      </c>
      <c r="T171" t="s">
        <v>35</v>
      </c>
      <c r="U171" t="s">
        <v>35</v>
      </c>
      <c r="V171">
        <v>1</v>
      </c>
      <c r="W171" t="s">
        <v>35</v>
      </c>
      <c r="X171" t="s">
        <v>35</v>
      </c>
      <c r="Y171">
        <v>7.4999999999999997E-2</v>
      </c>
      <c r="Z171">
        <v>0.02</v>
      </c>
      <c r="AA171">
        <v>0</v>
      </c>
      <c r="AB171">
        <v>0.83299999999999996</v>
      </c>
      <c r="AC171">
        <v>20</v>
      </c>
      <c r="AD171">
        <v>1100</v>
      </c>
      <c r="AE171">
        <v>60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1</v>
      </c>
      <c r="AL171">
        <f t="shared" si="7"/>
        <v>0.3</v>
      </c>
      <c r="AM171">
        <v>0.92</v>
      </c>
    </row>
    <row r="172" spans="1:39" x14ac:dyDescent="0.25">
      <c r="A172" s="3" t="s">
        <v>169</v>
      </c>
      <c r="B172" t="s">
        <v>159</v>
      </c>
      <c r="C172">
        <v>74</v>
      </c>
      <c r="D172" t="s">
        <v>35</v>
      </c>
      <c r="E172" t="s">
        <v>35</v>
      </c>
      <c r="F172" t="s">
        <v>35</v>
      </c>
      <c r="G172" t="s">
        <v>35</v>
      </c>
      <c r="H172" t="s">
        <v>35</v>
      </c>
      <c r="I172" t="s">
        <v>35</v>
      </c>
      <c r="J172" t="s">
        <v>35</v>
      </c>
      <c r="K172">
        <v>0.82330000000000003</v>
      </c>
      <c r="L172" t="s">
        <v>35</v>
      </c>
      <c r="M172">
        <v>2.1499999999999998E-2</v>
      </c>
      <c r="N172">
        <v>0.1552</v>
      </c>
      <c r="O172">
        <v>74</v>
      </c>
      <c r="P172">
        <v>0.65249999999999997</v>
      </c>
      <c r="Q172" t="s">
        <v>35</v>
      </c>
      <c r="R172" t="s">
        <v>35</v>
      </c>
      <c r="S172" t="s">
        <v>35</v>
      </c>
      <c r="T172" t="s">
        <v>35</v>
      </c>
      <c r="U172" t="s">
        <v>35</v>
      </c>
      <c r="V172">
        <v>1</v>
      </c>
      <c r="W172" t="s">
        <v>35</v>
      </c>
      <c r="X172" t="s">
        <v>35</v>
      </c>
      <c r="Y172">
        <v>7.4999999999999997E-2</v>
      </c>
      <c r="Z172">
        <v>0.02</v>
      </c>
      <c r="AA172">
        <v>0</v>
      </c>
      <c r="AB172">
        <v>0.83299999999999996</v>
      </c>
      <c r="AC172">
        <v>20</v>
      </c>
      <c r="AD172">
        <v>1100</v>
      </c>
      <c r="AE172">
        <v>90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1</v>
      </c>
      <c r="AL172">
        <f t="shared" si="7"/>
        <v>0.3</v>
      </c>
      <c r="AM172">
        <v>0.93</v>
      </c>
    </row>
    <row r="173" spans="1:39" x14ac:dyDescent="0.25">
      <c r="A173" s="3" t="s">
        <v>169</v>
      </c>
      <c r="B173" t="s">
        <v>165</v>
      </c>
      <c r="C173">
        <v>74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>
        <v>0.82330000000000003</v>
      </c>
      <c r="L173" t="s">
        <v>35</v>
      </c>
      <c r="M173">
        <v>2.1499999999999998E-2</v>
      </c>
      <c r="N173">
        <v>0.1552</v>
      </c>
      <c r="O173">
        <v>74</v>
      </c>
      <c r="P173">
        <v>0.65249999999999997</v>
      </c>
      <c r="Q173" t="s">
        <v>35</v>
      </c>
      <c r="R173" t="s">
        <v>35</v>
      </c>
      <c r="S173" t="s">
        <v>35</v>
      </c>
      <c r="T173" t="s">
        <v>35</v>
      </c>
      <c r="U173" t="s">
        <v>35</v>
      </c>
      <c r="V173">
        <v>1</v>
      </c>
      <c r="W173" t="s">
        <v>35</v>
      </c>
      <c r="X173" t="s">
        <v>35</v>
      </c>
      <c r="Y173">
        <v>7.4999999999999997E-2</v>
      </c>
      <c r="Z173">
        <v>0.02</v>
      </c>
      <c r="AA173">
        <v>0</v>
      </c>
      <c r="AB173">
        <v>0.83299999999999996</v>
      </c>
      <c r="AC173">
        <v>20</v>
      </c>
      <c r="AD173">
        <v>1200</v>
      </c>
      <c r="AE173">
        <v>15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1</v>
      </c>
      <c r="AL173">
        <f t="shared" si="7"/>
        <v>0.3</v>
      </c>
      <c r="AM173">
        <v>0.7</v>
      </c>
    </row>
    <row r="174" spans="1:39" x14ac:dyDescent="0.25">
      <c r="A174" s="3" t="s">
        <v>169</v>
      </c>
      <c r="B174" t="s">
        <v>166</v>
      </c>
      <c r="C174">
        <v>74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>
        <v>0.82330000000000003</v>
      </c>
      <c r="L174" t="s">
        <v>35</v>
      </c>
      <c r="M174">
        <v>2.1499999999999998E-2</v>
      </c>
      <c r="N174">
        <v>0.1552</v>
      </c>
      <c r="O174">
        <v>74</v>
      </c>
      <c r="P174">
        <v>0.65249999999999997</v>
      </c>
      <c r="Q174" t="s">
        <v>35</v>
      </c>
      <c r="R174" t="s">
        <v>35</v>
      </c>
      <c r="S174" t="s">
        <v>35</v>
      </c>
      <c r="T174" t="s">
        <v>35</v>
      </c>
      <c r="U174" t="s">
        <v>35</v>
      </c>
      <c r="V174">
        <v>1</v>
      </c>
      <c r="W174" t="s">
        <v>35</v>
      </c>
      <c r="X174" t="s">
        <v>35</v>
      </c>
      <c r="Y174">
        <v>7.4999999999999997E-2</v>
      </c>
      <c r="Z174">
        <v>0.02</v>
      </c>
      <c r="AA174">
        <v>0</v>
      </c>
      <c r="AB174">
        <v>0.83299999999999996</v>
      </c>
      <c r="AC174">
        <v>20</v>
      </c>
      <c r="AD174">
        <v>1200</v>
      </c>
      <c r="AE174">
        <v>30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f t="shared" si="7"/>
        <v>0.3</v>
      </c>
      <c r="AM174">
        <v>0.78</v>
      </c>
    </row>
    <row r="175" spans="1:39" x14ac:dyDescent="0.25">
      <c r="A175" s="3" t="s">
        <v>169</v>
      </c>
      <c r="B175" t="s">
        <v>167</v>
      </c>
      <c r="C175">
        <v>74</v>
      </c>
      <c r="D175" t="s">
        <v>35</v>
      </c>
      <c r="E175" t="s">
        <v>35</v>
      </c>
      <c r="F175" t="s">
        <v>35</v>
      </c>
      <c r="G175" t="s">
        <v>35</v>
      </c>
      <c r="H175" t="s">
        <v>35</v>
      </c>
      <c r="I175" t="s">
        <v>35</v>
      </c>
      <c r="J175" t="s">
        <v>35</v>
      </c>
      <c r="K175">
        <v>0.82330000000000003</v>
      </c>
      <c r="L175" t="s">
        <v>35</v>
      </c>
      <c r="M175">
        <v>2.1499999999999998E-2</v>
      </c>
      <c r="N175">
        <v>0.1552</v>
      </c>
      <c r="O175">
        <v>74</v>
      </c>
      <c r="P175">
        <v>0.65249999999999997</v>
      </c>
      <c r="Q175" t="s">
        <v>35</v>
      </c>
      <c r="R175" t="s">
        <v>35</v>
      </c>
      <c r="S175" t="s">
        <v>35</v>
      </c>
      <c r="T175" t="s">
        <v>35</v>
      </c>
      <c r="U175" t="s">
        <v>35</v>
      </c>
      <c r="V175">
        <v>1</v>
      </c>
      <c r="W175" t="s">
        <v>35</v>
      </c>
      <c r="X175" t="s">
        <v>35</v>
      </c>
      <c r="Y175">
        <v>7.4999999999999997E-2</v>
      </c>
      <c r="Z175">
        <v>0.02</v>
      </c>
      <c r="AA175">
        <v>0</v>
      </c>
      <c r="AB175">
        <v>0.83299999999999996</v>
      </c>
      <c r="AC175">
        <v>20</v>
      </c>
      <c r="AD175">
        <v>1200</v>
      </c>
      <c r="AE175">
        <v>45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1</v>
      </c>
      <c r="AL175">
        <f t="shared" si="7"/>
        <v>0.3</v>
      </c>
      <c r="AM175">
        <v>0.9</v>
      </c>
    </row>
    <row r="176" spans="1:39" x14ac:dyDescent="0.25">
      <c r="A176" s="3" t="s">
        <v>169</v>
      </c>
      <c r="B176" t="s">
        <v>168</v>
      </c>
      <c r="C176">
        <v>74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>
        <v>0.82330000000000003</v>
      </c>
      <c r="L176" t="s">
        <v>35</v>
      </c>
      <c r="M176">
        <v>2.1499999999999998E-2</v>
      </c>
      <c r="N176">
        <v>0.1552</v>
      </c>
      <c r="O176">
        <v>74</v>
      </c>
      <c r="P176">
        <v>0.65249999999999997</v>
      </c>
      <c r="Q176" t="s">
        <v>35</v>
      </c>
      <c r="R176" t="s">
        <v>35</v>
      </c>
      <c r="S176" t="s">
        <v>35</v>
      </c>
      <c r="T176" t="s">
        <v>35</v>
      </c>
      <c r="U176" t="s">
        <v>35</v>
      </c>
      <c r="V176">
        <v>1</v>
      </c>
      <c r="W176" t="s">
        <v>35</v>
      </c>
      <c r="X176" t="s">
        <v>35</v>
      </c>
      <c r="Y176">
        <v>7.4999999999999997E-2</v>
      </c>
      <c r="Z176">
        <v>0.02</v>
      </c>
      <c r="AA176">
        <v>0</v>
      </c>
      <c r="AB176">
        <v>0.83299999999999996</v>
      </c>
      <c r="AC176">
        <v>20</v>
      </c>
      <c r="AD176">
        <v>1200</v>
      </c>
      <c r="AE176">
        <v>60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f t="shared" si="7"/>
        <v>0.3</v>
      </c>
      <c r="AM176">
        <v>0.92500000000000004</v>
      </c>
    </row>
    <row r="177" spans="1:39" x14ac:dyDescent="0.25">
      <c r="A177" s="3" t="s">
        <v>169</v>
      </c>
      <c r="B177" t="s">
        <v>164</v>
      </c>
      <c r="C177">
        <v>74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>
        <v>0.82330000000000003</v>
      </c>
      <c r="L177" t="s">
        <v>35</v>
      </c>
      <c r="M177">
        <v>2.1499999999999998E-2</v>
      </c>
      <c r="N177">
        <v>0.1552</v>
      </c>
      <c r="O177">
        <v>74</v>
      </c>
      <c r="P177">
        <v>0.65249999999999997</v>
      </c>
      <c r="Q177" t="s">
        <v>35</v>
      </c>
      <c r="R177" t="s">
        <v>35</v>
      </c>
      <c r="S177" t="s">
        <v>35</v>
      </c>
      <c r="T177" t="s">
        <v>35</v>
      </c>
      <c r="U177" t="s">
        <v>35</v>
      </c>
      <c r="V177">
        <v>1</v>
      </c>
      <c r="W177" t="s">
        <v>35</v>
      </c>
      <c r="X177" t="s">
        <v>35</v>
      </c>
      <c r="Y177">
        <v>7.4999999999999997E-2</v>
      </c>
      <c r="Z177">
        <v>0.02</v>
      </c>
      <c r="AA177">
        <v>0</v>
      </c>
      <c r="AB177">
        <v>0.83299999999999996</v>
      </c>
      <c r="AC177">
        <v>20</v>
      </c>
      <c r="AD177">
        <v>1200</v>
      </c>
      <c r="AE177">
        <v>90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f t="shared" si="7"/>
        <v>0.3</v>
      </c>
      <c r="AM177">
        <v>0.94</v>
      </c>
    </row>
    <row r="178" spans="1:39" x14ac:dyDescent="0.25">
      <c r="A178" t="s">
        <v>29</v>
      </c>
      <c r="B178" t="s">
        <v>170</v>
      </c>
      <c r="C178">
        <v>45</v>
      </c>
      <c r="D178" t="s">
        <v>35</v>
      </c>
      <c r="E178" t="s">
        <v>35</v>
      </c>
      <c r="F178" t="s">
        <v>35</v>
      </c>
      <c r="G178" t="s">
        <v>35</v>
      </c>
      <c r="H178" t="s">
        <v>35</v>
      </c>
      <c r="I178" t="s">
        <v>35</v>
      </c>
      <c r="J178" t="s">
        <v>35</v>
      </c>
      <c r="K178">
        <v>0.13400000000000001</v>
      </c>
      <c r="L178" t="s">
        <v>35</v>
      </c>
      <c r="M178">
        <v>1.7000000000000001E-2</v>
      </c>
      <c r="N178">
        <v>0.84899999999999998</v>
      </c>
      <c r="O178">
        <v>150</v>
      </c>
      <c r="P178">
        <v>0.65390000000000004</v>
      </c>
      <c r="Q178" t="s">
        <v>35</v>
      </c>
      <c r="R178" t="s">
        <v>35</v>
      </c>
      <c r="S178" t="s">
        <v>35</v>
      </c>
      <c r="T178" t="s">
        <v>35</v>
      </c>
      <c r="U178" t="s">
        <v>35</v>
      </c>
      <c r="V178">
        <v>0.64019999999999999</v>
      </c>
      <c r="W178" t="s">
        <v>35</v>
      </c>
      <c r="X178" t="s">
        <v>35</v>
      </c>
      <c r="Y178">
        <v>0.1</v>
      </c>
      <c r="Z178" t="s">
        <v>35</v>
      </c>
      <c r="AA178" t="s">
        <v>35</v>
      </c>
      <c r="AB178">
        <v>1</v>
      </c>
      <c r="AC178">
        <v>20</v>
      </c>
      <c r="AD178">
        <v>950</v>
      </c>
      <c r="AE178">
        <v>120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1</v>
      </c>
      <c r="AL178" t="s">
        <v>35</v>
      </c>
      <c r="AM178" t="s">
        <v>35</v>
      </c>
    </row>
    <row r="179" spans="1:39" x14ac:dyDescent="0.25">
      <c r="A179" t="s">
        <v>30</v>
      </c>
      <c r="B179" t="s">
        <v>171</v>
      </c>
      <c r="C179">
        <v>100</v>
      </c>
      <c r="D179" t="s">
        <v>35</v>
      </c>
      <c r="E179" t="s">
        <v>35</v>
      </c>
      <c r="F179">
        <v>0.49099999999999999</v>
      </c>
      <c r="G179">
        <v>5.1499999999999997E-2</v>
      </c>
      <c r="H179">
        <v>3.7000000000000002E-3</v>
      </c>
      <c r="I179">
        <v>1E-3</v>
      </c>
      <c r="J179">
        <v>0.45279999999999998</v>
      </c>
      <c r="K179">
        <v>0.1356</v>
      </c>
      <c r="L179">
        <v>1.26E-2</v>
      </c>
      <c r="M179">
        <v>6.5199999999999994E-2</v>
      </c>
      <c r="N179">
        <v>0.78569999999999995</v>
      </c>
      <c r="O179">
        <v>105</v>
      </c>
      <c r="P179">
        <v>0.55620000000000003</v>
      </c>
      <c r="Q179" t="s">
        <v>35</v>
      </c>
      <c r="R179" t="s">
        <v>35</v>
      </c>
      <c r="S179" t="s">
        <v>35</v>
      </c>
      <c r="T179" t="s">
        <v>35</v>
      </c>
      <c r="U179" t="s">
        <v>35</v>
      </c>
      <c r="V179" t="s">
        <v>35</v>
      </c>
      <c r="W179" t="s">
        <v>35</v>
      </c>
      <c r="X179" t="s">
        <v>35</v>
      </c>
      <c r="Y179" t="s">
        <v>35</v>
      </c>
      <c r="Z179" t="s">
        <v>35</v>
      </c>
      <c r="AA179" t="s">
        <v>35</v>
      </c>
      <c r="AB179" t="s">
        <v>35</v>
      </c>
      <c r="AC179">
        <v>0</v>
      </c>
      <c r="AD179" t="s">
        <v>35</v>
      </c>
      <c r="AE179" t="s">
        <v>35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f>50*60/1000000</f>
        <v>3.0000000000000001E-3</v>
      </c>
      <c r="AM179" t="s">
        <v>35</v>
      </c>
    </row>
    <row r="180" spans="1:39" x14ac:dyDescent="0.25">
      <c r="A180" s="3" t="s">
        <v>31</v>
      </c>
      <c r="B180" t="s">
        <v>172</v>
      </c>
      <c r="C180">
        <v>250</v>
      </c>
      <c r="D180" t="s">
        <v>35</v>
      </c>
      <c r="E180" t="s">
        <v>35</v>
      </c>
      <c r="F180">
        <v>0.46850000000000003</v>
      </c>
      <c r="G180">
        <v>6.2700000000000006E-2</v>
      </c>
      <c r="H180">
        <v>2E-3</v>
      </c>
      <c r="I180">
        <v>8.0000000000000004E-4</v>
      </c>
      <c r="J180">
        <v>0.46339999999999998</v>
      </c>
      <c r="K180">
        <v>0.12479999999999999</v>
      </c>
      <c r="L180">
        <v>0.10780000000000001</v>
      </c>
      <c r="M180">
        <v>2.5999999999999999E-3</v>
      </c>
      <c r="N180">
        <v>0.87260000000000004</v>
      </c>
      <c r="O180">
        <v>250</v>
      </c>
      <c r="P180">
        <v>0.57199999999999995</v>
      </c>
      <c r="Q180" t="s">
        <v>35</v>
      </c>
      <c r="R180" t="s">
        <v>35</v>
      </c>
      <c r="S180" t="s">
        <v>35</v>
      </c>
      <c r="T180">
        <v>980</v>
      </c>
      <c r="U180">
        <v>0</v>
      </c>
      <c r="V180">
        <v>0.87360000000000004</v>
      </c>
      <c r="W180">
        <v>0.435</v>
      </c>
      <c r="X180">
        <v>0.56499999999999995</v>
      </c>
      <c r="Y180">
        <v>0</v>
      </c>
      <c r="Z180">
        <v>0</v>
      </c>
      <c r="AA180">
        <v>0</v>
      </c>
      <c r="AB180">
        <v>1</v>
      </c>
      <c r="AC180">
        <v>20</v>
      </c>
      <c r="AD180">
        <v>1200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1</v>
      </c>
      <c r="AL180">
        <f>8.33*0.000001*3600</f>
        <v>2.9988000000000001E-2</v>
      </c>
      <c r="AM180">
        <v>0.98</v>
      </c>
    </row>
    <row r="181" spans="1:39" x14ac:dyDescent="0.25">
      <c r="A181" s="3" t="s">
        <v>31</v>
      </c>
      <c r="B181" t="s">
        <v>173</v>
      </c>
      <c r="C181">
        <v>251</v>
      </c>
      <c r="D181" t="s">
        <v>35</v>
      </c>
      <c r="E181" t="s">
        <v>35</v>
      </c>
      <c r="F181">
        <v>0.46850000000000003</v>
      </c>
      <c r="G181">
        <v>6.2700000000000006E-2</v>
      </c>
      <c r="H181">
        <v>2E-3</v>
      </c>
      <c r="I181">
        <v>8.0000000000000004E-4</v>
      </c>
      <c r="J181">
        <v>0.46339999999999998</v>
      </c>
      <c r="K181">
        <v>0.12479999999999999</v>
      </c>
      <c r="L181">
        <v>0.10780000000000001</v>
      </c>
      <c r="M181">
        <v>2.5999999999999999E-3</v>
      </c>
      <c r="N181">
        <v>0.87260000000000004</v>
      </c>
      <c r="O181">
        <v>250</v>
      </c>
      <c r="P181">
        <v>0.57199999999999995</v>
      </c>
      <c r="Q181" t="s">
        <v>35</v>
      </c>
      <c r="R181" t="s">
        <v>35</v>
      </c>
      <c r="S181" t="s">
        <v>35</v>
      </c>
      <c r="T181">
        <v>980</v>
      </c>
      <c r="U181">
        <v>0</v>
      </c>
      <c r="V181">
        <v>0.87360000000000004</v>
      </c>
      <c r="W181">
        <v>0.435</v>
      </c>
      <c r="X181">
        <v>0.56499999999999995</v>
      </c>
      <c r="Y181">
        <v>0</v>
      </c>
      <c r="Z181">
        <v>0</v>
      </c>
      <c r="AA181">
        <v>0</v>
      </c>
      <c r="AB181">
        <v>1</v>
      </c>
      <c r="AC181">
        <v>20</v>
      </c>
      <c r="AD181">
        <v>1000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1</v>
      </c>
      <c r="AL181">
        <f t="shared" ref="AL181:AL184" si="8">8.33*0.000001*3600</f>
        <v>2.9988000000000001E-2</v>
      </c>
      <c r="AM181">
        <v>0.76</v>
      </c>
    </row>
    <row r="182" spans="1:39" x14ac:dyDescent="0.25">
      <c r="A182" s="3" t="s">
        <v>31</v>
      </c>
      <c r="B182" t="s">
        <v>174</v>
      </c>
      <c r="C182">
        <v>252</v>
      </c>
      <c r="D182" t="s">
        <v>35</v>
      </c>
      <c r="E182" t="s">
        <v>35</v>
      </c>
      <c r="F182">
        <v>0.46850000000000003</v>
      </c>
      <c r="G182">
        <v>6.2700000000000006E-2</v>
      </c>
      <c r="H182">
        <v>2E-3</v>
      </c>
      <c r="I182">
        <v>8.0000000000000004E-4</v>
      </c>
      <c r="J182">
        <v>0.46339999999999998</v>
      </c>
      <c r="K182">
        <v>0.12479999999999999</v>
      </c>
      <c r="L182">
        <v>0.10780000000000001</v>
      </c>
      <c r="M182">
        <v>2.5999999999999999E-3</v>
      </c>
      <c r="N182">
        <v>0.87260000000000004</v>
      </c>
      <c r="O182">
        <v>250</v>
      </c>
      <c r="P182">
        <v>0.57199999999999995</v>
      </c>
      <c r="Q182" t="s">
        <v>35</v>
      </c>
      <c r="R182" t="s">
        <v>35</v>
      </c>
      <c r="S182" t="s">
        <v>35</v>
      </c>
      <c r="T182">
        <v>980</v>
      </c>
      <c r="U182">
        <v>0</v>
      </c>
      <c r="V182">
        <v>0.87360000000000004</v>
      </c>
      <c r="W182">
        <v>0.435</v>
      </c>
      <c r="X182">
        <v>0.56499999999999995</v>
      </c>
      <c r="Y182">
        <v>0</v>
      </c>
      <c r="Z182">
        <v>0</v>
      </c>
      <c r="AA182">
        <v>0</v>
      </c>
      <c r="AB182">
        <v>1</v>
      </c>
      <c r="AC182">
        <v>20</v>
      </c>
      <c r="AD182">
        <v>800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1</v>
      </c>
      <c r="AL182">
        <f t="shared" si="8"/>
        <v>2.9988000000000001E-2</v>
      </c>
      <c r="AM182">
        <v>0.14000000000000001</v>
      </c>
    </row>
    <row r="183" spans="1:39" x14ac:dyDescent="0.25">
      <c r="A183" s="3" t="s">
        <v>31</v>
      </c>
      <c r="B183" t="s">
        <v>175</v>
      </c>
      <c r="C183">
        <v>253</v>
      </c>
      <c r="D183" t="s">
        <v>35</v>
      </c>
      <c r="E183" t="s">
        <v>35</v>
      </c>
      <c r="F183">
        <v>0.46850000000000003</v>
      </c>
      <c r="G183">
        <v>6.2700000000000006E-2</v>
      </c>
      <c r="H183">
        <v>2E-3</v>
      </c>
      <c r="I183">
        <v>8.0000000000000004E-4</v>
      </c>
      <c r="J183">
        <v>0.46339999999999998</v>
      </c>
      <c r="K183">
        <v>0.12479999999999999</v>
      </c>
      <c r="L183">
        <v>0.10780000000000001</v>
      </c>
      <c r="M183">
        <v>2.5999999999999999E-3</v>
      </c>
      <c r="N183">
        <v>0.87260000000000004</v>
      </c>
      <c r="O183">
        <v>250</v>
      </c>
      <c r="P183">
        <v>0.57199999999999995</v>
      </c>
      <c r="Q183" t="s">
        <v>35</v>
      </c>
      <c r="R183" t="s">
        <v>35</v>
      </c>
      <c r="S183" t="s">
        <v>35</v>
      </c>
      <c r="T183">
        <v>980</v>
      </c>
      <c r="U183">
        <v>0</v>
      </c>
      <c r="V183">
        <v>0.87360000000000004</v>
      </c>
      <c r="W183">
        <v>0.435</v>
      </c>
      <c r="X183">
        <v>0.56499999999999995</v>
      </c>
      <c r="Y183">
        <v>0</v>
      </c>
      <c r="Z183">
        <v>0</v>
      </c>
      <c r="AA183">
        <v>0</v>
      </c>
      <c r="AB183">
        <v>1</v>
      </c>
      <c r="AC183">
        <v>20</v>
      </c>
      <c r="AD183">
        <v>600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f t="shared" si="8"/>
        <v>2.9988000000000001E-2</v>
      </c>
      <c r="AM183">
        <v>0.19</v>
      </c>
    </row>
    <row r="184" spans="1:39" x14ac:dyDescent="0.25">
      <c r="A184" s="3" t="s">
        <v>31</v>
      </c>
      <c r="B184" t="s">
        <v>176</v>
      </c>
      <c r="C184">
        <v>254</v>
      </c>
      <c r="D184" t="s">
        <v>35</v>
      </c>
      <c r="E184" t="s">
        <v>35</v>
      </c>
      <c r="F184">
        <v>0.46850000000000003</v>
      </c>
      <c r="G184">
        <v>6.2700000000000006E-2</v>
      </c>
      <c r="H184">
        <v>2E-3</v>
      </c>
      <c r="I184">
        <v>8.0000000000000004E-4</v>
      </c>
      <c r="J184">
        <v>0.46339999999999998</v>
      </c>
      <c r="K184">
        <v>0.12479999999999999</v>
      </c>
      <c r="L184">
        <v>0.10780000000000001</v>
      </c>
      <c r="M184">
        <v>2.5999999999999999E-3</v>
      </c>
      <c r="N184">
        <v>0.87260000000000004</v>
      </c>
      <c r="O184">
        <v>250</v>
      </c>
      <c r="P184">
        <v>0.57199999999999995</v>
      </c>
      <c r="Q184" t="s">
        <v>35</v>
      </c>
      <c r="R184" t="s">
        <v>35</v>
      </c>
      <c r="S184" t="s">
        <v>35</v>
      </c>
      <c r="T184">
        <v>980</v>
      </c>
      <c r="U184">
        <v>0</v>
      </c>
      <c r="V184">
        <v>0.87360000000000004</v>
      </c>
      <c r="W184">
        <v>0.435</v>
      </c>
      <c r="X184">
        <v>0.56499999999999995</v>
      </c>
      <c r="Y184">
        <v>0</v>
      </c>
      <c r="Z184">
        <v>0</v>
      </c>
      <c r="AA184">
        <v>0</v>
      </c>
      <c r="AB184">
        <v>1</v>
      </c>
      <c r="AC184">
        <v>20</v>
      </c>
      <c r="AD184">
        <v>400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1</v>
      </c>
      <c r="AL184">
        <f t="shared" si="8"/>
        <v>2.9988000000000001E-2</v>
      </c>
      <c r="AM184">
        <v>0</v>
      </c>
    </row>
    <row r="185" spans="1:39" x14ac:dyDescent="0.25">
      <c r="A185" s="3" t="s">
        <v>199</v>
      </c>
      <c r="B185" t="s">
        <v>177</v>
      </c>
      <c r="C185">
        <v>210</v>
      </c>
      <c r="D185" t="s">
        <v>35</v>
      </c>
      <c r="E185" t="s">
        <v>35</v>
      </c>
      <c r="F185">
        <v>0.82</v>
      </c>
      <c r="G185">
        <v>0.02</v>
      </c>
      <c r="H185">
        <v>0</v>
      </c>
      <c r="I185">
        <v>0</v>
      </c>
      <c r="J185">
        <v>0.16</v>
      </c>
      <c r="K185">
        <v>0.84</v>
      </c>
      <c r="L185" t="s">
        <v>35</v>
      </c>
      <c r="M185">
        <v>0.08</v>
      </c>
      <c r="N185">
        <v>0.08</v>
      </c>
      <c r="O185">
        <v>210</v>
      </c>
      <c r="P185">
        <f>0.925*0.7</f>
        <v>0.64749999999999996</v>
      </c>
      <c r="Q185" t="s">
        <v>35</v>
      </c>
      <c r="R185" t="s">
        <v>35</v>
      </c>
      <c r="S185" t="s">
        <v>35</v>
      </c>
      <c r="T185">
        <v>0</v>
      </c>
      <c r="U185">
        <v>0</v>
      </c>
      <c r="V185">
        <v>1</v>
      </c>
      <c r="W185" t="s">
        <v>35</v>
      </c>
      <c r="X185" t="s">
        <v>35</v>
      </c>
      <c r="Y185" t="s">
        <v>35</v>
      </c>
      <c r="Z185">
        <v>0</v>
      </c>
      <c r="AA185">
        <v>0</v>
      </c>
      <c r="AB185">
        <v>1</v>
      </c>
      <c r="AC185">
        <v>20</v>
      </c>
      <c r="AD185">
        <v>1000</v>
      </c>
      <c r="AE185">
        <v>30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f>0.5*60/1000</f>
        <v>0.03</v>
      </c>
      <c r="AM185">
        <v>0.72270000000000001</v>
      </c>
    </row>
    <row r="186" spans="1:39" x14ac:dyDescent="0.25">
      <c r="A186" s="3" t="s">
        <v>199</v>
      </c>
      <c r="B186" t="s">
        <v>178</v>
      </c>
      <c r="C186">
        <v>210</v>
      </c>
      <c r="D186" t="s">
        <v>35</v>
      </c>
      <c r="E186" t="s">
        <v>35</v>
      </c>
      <c r="F186">
        <v>0.82</v>
      </c>
      <c r="G186">
        <v>0.02</v>
      </c>
      <c r="H186">
        <v>0</v>
      </c>
      <c r="I186">
        <v>0</v>
      </c>
      <c r="J186">
        <v>0.16</v>
      </c>
      <c r="K186">
        <v>0.84</v>
      </c>
      <c r="L186" t="s">
        <v>35</v>
      </c>
      <c r="M186">
        <v>0.08</v>
      </c>
      <c r="N186">
        <v>0.08</v>
      </c>
      <c r="O186">
        <v>210</v>
      </c>
      <c r="P186">
        <f t="shared" ref="P186:P208" si="9">0.925*0.7</f>
        <v>0.64749999999999996</v>
      </c>
      <c r="Q186" t="s">
        <v>35</v>
      </c>
      <c r="R186" t="s">
        <v>35</v>
      </c>
      <c r="S186" t="s">
        <v>35</v>
      </c>
      <c r="T186">
        <v>0</v>
      </c>
      <c r="U186">
        <v>0</v>
      </c>
      <c r="V186">
        <v>1</v>
      </c>
      <c r="W186" t="s">
        <v>35</v>
      </c>
      <c r="X186" t="s">
        <v>35</v>
      </c>
      <c r="Y186" t="s">
        <v>35</v>
      </c>
      <c r="Z186">
        <v>0</v>
      </c>
      <c r="AA186">
        <v>0</v>
      </c>
      <c r="AB186">
        <v>1.5</v>
      </c>
      <c r="AC186">
        <v>20</v>
      </c>
      <c r="AD186">
        <v>1000</v>
      </c>
      <c r="AE186">
        <v>30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f t="shared" ref="AL186:AL208" si="10">0.5*60/1000</f>
        <v>0.03</v>
      </c>
      <c r="AM186">
        <v>0.80379999999999996</v>
      </c>
    </row>
    <row r="187" spans="1:39" x14ac:dyDescent="0.25">
      <c r="A187" s="3" t="s">
        <v>199</v>
      </c>
      <c r="B187" t="s">
        <v>179</v>
      </c>
      <c r="C187">
        <v>210</v>
      </c>
      <c r="D187" t="s">
        <v>35</v>
      </c>
      <c r="E187" t="s">
        <v>35</v>
      </c>
      <c r="F187">
        <v>0.82</v>
      </c>
      <c r="G187">
        <v>0.02</v>
      </c>
      <c r="H187">
        <v>0</v>
      </c>
      <c r="I187">
        <v>0</v>
      </c>
      <c r="J187">
        <v>0.16</v>
      </c>
      <c r="K187">
        <v>0.84</v>
      </c>
      <c r="L187" t="s">
        <v>35</v>
      </c>
      <c r="M187">
        <v>0.08</v>
      </c>
      <c r="N187">
        <v>0.08</v>
      </c>
      <c r="O187">
        <v>210</v>
      </c>
      <c r="P187">
        <f t="shared" si="9"/>
        <v>0.64749999999999996</v>
      </c>
      <c r="Q187" t="s">
        <v>35</v>
      </c>
      <c r="R187" t="s">
        <v>35</v>
      </c>
      <c r="S187" t="s">
        <v>35</v>
      </c>
      <c r="T187">
        <v>0</v>
      </c>
      <c r="U187">
        <v>0</v>
      </c>
      <c r="V187">
        <v>1</v>
      </c>
      <c r="W187" t="s">
        <v>35</v>
      </c>
      <c r="X187" t="s">
        <v>35</v>
      </c>
      <c r="Y187" t="s">
        <v>35</v>
      </c>
      <c r="Z187">
        <v>0</v>
      </c>
      <c r="AA187">
        <v>0</v>
      </c>
      <c r="AB187">
        <v>2</v>
      </c>
      <c r="AC187">
        <v>20</v>
      </c>
      <c r="AD187">
        <v>1000</v>
      </c>
      <c r="AE187">
        <v>30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f t="shared" si="10"/>
        <v>0.03</v>
      </c>
      <c r="AM187">
        <v>0.76780000000000004</v>
      </c>
    </row>
    <row r="188" spans="1:39" x14ac:dyDescent="0.25">
      <c r="A188" s="3" t="s">
        <v>199</v>
      </c>
      <c r="B188" t="s">
        <v>180</v>
      </c>
      <c r="C188">
        <v>210</v>
      </c>
      <c r="D188" t="s">
        <v>35</v>
      </c>
      <c r="E188" t="s">
        <v>35</v>
      </c>
      <c r="F188">
        <v>0.82</v>
      </c>
      <c r="G188">
        <v>0.02</v>
      </c>
      <c r="H188">
        <v>0</v>
      </c>
      <c r="I188">
        <v>0</v>
      </c>
      <c r="J188">
        <v>0.16</v>
      </c>
      <c r="K188">
        <v>0.84</v>
      </c>
      <c r="L188" t="s">
        <v>35</v>
      </c>
      <c r="M188">
        <v>0.08</v>
      </c>
      <c r="N188">
        <v>0.08</v>
      </c>
      <c r="O188">
        <v>210</v>
      </c>
      <c r="P188">
        <f t="shared" si="9"/>
        <v>0.64749999999999996</v>
      </c>
      <c r="Q188" t="s">
        <v>35</v>
      </c>
      <c r="R188" t="s">
        <v>35</v>
      </c>
      <c r="S188" t="s">
        <v>35</v>
      </c>
      <c r="T188">
        <v>0</v>
      </c>
      <c r="U188">
        <v>0</v>
      </c>
      <c r="V188">
        <v>1</v>
      </c>
      <c r="W188" t="s">
        <v>35</v>
      </c>
      <c r="X188" t="s">
        <v>35</v>
      </c>
      <c r="Y188" t="s">
        <v>35</v>
      </c>
      <c r="Z188">
        <v>0</v>
      </c>
      <c r="AA188">
        <v>0</v>
      </c>
      <c r="AB188">
        <v>2.5</v>
      </c>
      <c r="AC188">
        <v>20</v>
      </c>
      <c r="AD188">
        <v>1000</v>
      </c>
      <c r="AE188">
        <v>30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1</v>
      </c>
      <c r="AL188">
        <f t="shared" si="10"/>
        <v>0.03</v>
      </c>
      <c r="AM188">
        <v>0.84379999999999999</v>
      </c>
    </row>
    <row r="189" spans="1:39" x14ac:dyDescent="0.25">
      <c r="A189" s="3" t="s">
        <v>199</v>
      </c>
      <c r="B189" t="s">
        <v>181</v>
      </c>
      <c r="C189">
        <v>210</v>
      </c>
      <c r="D189" t="s">
        <v>35</v>
      </c>
      <c r="E189" t="s">
        <v>35</v>
      </c>
      <c r="F189">
        <v>0.77500000000000002</v>
      </c>
      <c r="G189">
        <v>2.5000000000000001E-2</v>
      </c>
      <c r="H189">
        <v>0</v>
      </c>
      <c r="I189">
        <v>0</v>
      </c>
      <c r="J189">
        <v>0.2</v>
      </c>
      <c r="K189">
        <v>0.77</v>
      </c>
      <c r="L189" t="s">
        <v>35</v>
      </c>
      <c r="M189">
        <v>0.06</v>
      </c>
      <c r="N189">
        <v>0.17</v>
      </c>
      <c r="O189">
        <v>210</v>
      </c>
      <c r="P189">
        <f t="shared" si="9"/>
        <v>0.64749999999999996</v>
      </c>
      <c r="Q189" t="s">
        <v>35</v>
      </c>
      <c r="R189" t="s">
        <v>35</v>
      </c>
      <c r="S189" t="s">
        <v>35</v>
      </c>
      <c r="T189">
        <v>0</v>
      </c>
      <c r="U189">
        <v>0</v>
      </c>
      <c r="V189">
        <v>1</v>
      </c>
      <c r="W189" t="s">
        <v>35</v>
      </c>
      <c r="X189" t="s">
        <v>35</v>
      </c>
      <c r="Y189" t="s">
        <v>35</v>
      </c>
      <c r="Z189">
        <v>0</v>
      </c>
      <c r="AA189">
        <v>0</v>
      </c>
      <c r="AB189">
        <v>1.5</v>
      </c>
      <c r="AC189">
        <v>20</v>
      </c>
      <c r="AD189">
        <v>1000</v>
      </c>
      <c r="AE189">
        <v>30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1</v>
      </c>
      <c r="AL189">
        <f t="shared" si="10"/>
        <v>0.03</v>
      </c>
      <c r="AM189">
        <v>0.751</v>
      </c>
    </row>
    <row r="190" spans="1:39" x14ac:dyDescent="0.25">
      <c r="A190" s="3" t="s">
        <v>199</v>
      </c>
      <c r="B190" t="s">
        <v>186</v>
      </c>
      <c r="C190">
        <v>210</v>
      </c>
      <c r="D190" t="s">
        <v>35</v>
      </c>
      <c r="E190" t="s">
        <v>35</v>
      </c>
      <c r="F190">
        <v>0.84499999999999997</v>
      </c>
      <c r="G190">
        <v>0.01</v>
      </c>
      <c r="H190">
        <v>0</v>
      </c>
      <c r="I190">
        <v>0</v>
      </c>
      <c r="J190">
        <v>0.14499999999999999</v>
      </c>
      <c r="K190">
        <v>0.89500000000000002</v>
      </c>
      <c r="L190" t="s">
        <v>35</v>
      </c>
      <c r="M190">
        <v>0.08</v>
      </c>
      <c r="N190">
        <v>2.5000000000000001E-2</v>
      </c>
      <c r="O190">
        <v>210</v>
      </c>
      <c r="P190">
        <f t="shared" si="9"/>
        <v>0.64749999999999996</v>
      </c>
      <c r="Q190" t="s">
        <v>35</v>
      </c>
      <c r="R190" t="s">
        <v>35</v>
      </c>
      <c r="S190" t="s">
        <v>35</v>
      </c>
      <c r="T190">
        <v>0</v>
      </c>
      <c r="U190">
        <v>0</v>
      </c>
      <c r="V190">
        <v>1</v>
      </c>
      <c r="W190" t="s">
        <v>35</v>
      </c>
      <c r="X190" t="s">
        <v>35</v>
      </c>
      <c r="Y190" t="s">
        <v>35</v>
      </c>
      <c r="Z190">
        <v>0</v>
      </c>
      <c r="AA190">
        <v>0</v>
      </c>
      <c r="AB190">
        <v>1.5</v>
      </c>
      <c r="AC190">
        <v>20</v>
      </c>
      <c r="AD190">
        <v>1000</v>
      </c>
      <c r="AE190">
        <v>30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f t="shared" si="10"/>
        <v>0.03</v>
      </c>
      <c r="AM190">
        <v>0.63</v>
      </c>
    </row>
    <row r="191" spans="1:39" x14ac:dyDescent="0.25">
      <c r="A191" s="3" t="s">
        <v>199</v>
      </c>
      <c r="B191" t="s">
        <v>183</v>
      </c>
      <c r="C191">
        <v>210</v>
      </c>
      <c r="D191" t="s">
        <v>35</v>
      </c>
      <c r="E191" t="s">
        <v>35</v>
      </c>
      <c r="F191">
        <v>0.89</v>
      </c>
      <c r="G191">
        <v>0.03</v>
      </c>
      <c r="H191">
        <v>0</v>
      </c>
      <c r="I191">
        <v>0</v>
      </c>
      <c r="J191">
        <v>0.08</v>
      </c>
      <c r="K191">
        <v>0.86</v>
      </c>
      <c r="L191" t="s">
        <v>35</v>
      </c>
      <c r="M191">
        <v>0.02</v>
      </c>
      <c r="N191">
        <v>0.12</v>
      </c>
      <c r="O191">
        <v>210</v>
      </c>
      <c r="P191">
        <f t="shared" si="9"/>
        <v>0.64749999999999996</v>
      </c>
      <c r="Q191" t="s">
        <v>35</v>
      </c>
      <c r="R191" t="s">
        <v>35</v>
      </c>
      <c r="S191" t="s">
        <v>35</v>
      </c>
      <c r="T191">
        <v>0</v>
      </c>
      <c r="U191">
        <v>0</v>
      </c>
      <c r="V191">
        <v>1</v>
      </c>
      <c r="W191" t="s">
        <v>35</v>
      </c>
      <c r="X191" t="s">
        <v>35</v>
      </c>
      <c r="Y191" t="s">
        <v>35</v>
      </c>
      <c r="Z191">
        <v>0</v>
      </c>
      <c r="AA191">
        <v>0</v>
      </c>
      <c r="AB191">
        <v>1.5</v>
      </c>
      <c r="AC191">
        <v>20</v>
      </c>
      <c r="AD191">
        <v>1000</v>
      </c>
      <c r="AE191">
        <v>30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1</v>
      </c>
      <c r="AL191">
        <f t="shared" si="10"/>
        <v>0.03</v>
      </c>
      <c r="AM191">
        <v>0.73299999999999998</v>
      </c>
    </row>
    <row r="192" spans="1:39" x14ac:dyDescent="0.25">
      <c r="A192" s="3" t="s">
        <v>199</v>
      </c>
      <c r="B192" t="s">
        <v>184</v>
      </c>
      <c r="C192">
        <v>210</v>
      </c>
      <c r="D192" t="s">
        <v>35</v>
      </c>
      <c r="E192" t="s">
        <v>35</v>
      </c>
      <c r="F192">
        <v>0.89</v>
      </c>
      <c r="G192">
        <v>1.4999999999999999E-2</v>
      </c>
      <c r="H192">
        <v>0</v>
      </c>
      <c r="I192">
        <v>0</v>
      </c>
      <c r="J192">
        <v>6.5000000000000002E-2</v>
      </c>
      <c r="K192">
        <v>0.93500000000000005</v>
      </c>
      <c r="L192" t="s">
        <v>35</v>
      </c>
      <c r="M192">
        <v>1.4999999999999999E-2</v>
      </c>
      <c r="N192">
        <v>0.05</v>
      </c>
      <c r="O192">
        <v>210</v>
      </c>
      <c r="P192">
        <f t="shared" si="9"/>
        <v>0.64749999999999996</v>
      </c>
      <c r="Q192" t="s">
        <v>35</v>
      </c>
      <c r="R192" t="s">
        <v>35</v>
      </c>
      <c r="S192" t="s">
        <v>35</v>
      </c>
      <c r="T192">
        <v>0</v>
      </c>
      <c r="U192">
        <v>0</v>
      </c>
      <c r="V192">
        <v>1</v>
      </c>
      <c r="W192" t="s">
        <v>35</v>
      </c>
      <c r="X192" t="s">
        <v>35</v>
      </c>
      <c r="Y192" t="s">
        <v>35</v>
      </c>
      <c r="Z192">
        <v>0</v>
      </c>
      <c r="AA192">
        <v>0</v>
      </c>
      <c r="AB192">
        <v>1.5</v>
      </c>
      <c r="AC192">
        <v>20</v>
      </c>
      <c r="AD192">
        <v>1000</v>
      </c>
      <c r="AE192">
        <v>30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f t="shared" si="10"/>
        <v>0.03</v>
      </c>
      <c r="AM192">
        <v>0.82499999999999996</v>
      </c>
    </row>
    <row r="193" spans="1:39" x14ac:dyDescent="0.25">
      <c r="A193" s="3" t="s">
        <v>199</v>
      </c>
      <c r="B193" t="s">
        <v>185</v>
      </c>
      <c r="C193">
        <v>210</v>
      </c>
      <c r="D193" t="s">
        <v>35</v>
      </c>
      <c r="E193" t="s">
        <v>35</v>
      </c>
      <c r="F193">
        <v>0.91</v>
      </c>
      <c r="G193">
        <v>0.01</v>
      </c>
      <c r="H193">
        <v>0</v>
      </c>
      <c r="I193">
        <v>0</v>
      </c>
      <c r="J193">
        <v>0.08</v>
      </c>
      <c r="K193">
        <v>0.97499999999999998</v>
      </c>
      <c r="L193" t="s">
        <v>35</v>
      </c>
      <c r="M193">
        <v>5.0000000000000001E-3</v>
      </c>
      <c r="N193">
        <v>0.02</v>
      </c>
      <c r="O193">
        <v>210</v>
      </c>
      <c r="P193">
        <f t="shared" si="9"/>
        <v>0.64749999999999996</v>
      </c>
      <c r="Q193" t="s">
        <v>35</v>
      </c>
      <c r="R193" t="s">
        <v>35</v>
      </c>
      <c r="S193" t="s">
        <v>35</v>
      </c>
      <c r="T193">
        <v>0</v>
      </c>
      <c r="U193">
        <v>0</v>
      </c>
      <c r="V193">
        <v>1</v>
      </c>
      <c r="W193" t="s">
        <v>35</v>
      </c>
      <c r="X193" t="s">
        <v>35</v>
      </c>
      <c r="Y193" t="s">
        <v>35</v>
      </c>
      <c r="Z193">
        <v>0</v>
      </c>
      <c r="AA193">
        <v>0</v>
      </c>
      <c r="AB193">
        <v>1.5</v>
      </c>
      <c r="AC193">
        <v>20</v>
      </c>
      <c r="AD193">
        <v>1000</v>
      </c>
      <c r="AE193">
        <v>30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1</v>
      </c>
      <c r="AL193">
        <f t="shared" si="10"/>
        <v>0.03</v>
      </c>
      <c r="AM193">
        <v>0.55500000000000005</v>
      </c>
    </row>
    <row r="194" spans="1:39" x14ac:dyDescent="0.25">
      <c r="A194" s="3" t="s">
        <v>199</v>
      </c>
      <c r="B194" t="s">
        <v>187</v>
      </c>
      <c r="C194">
        <v>210</v>
      </c>
      <c r="D194" t="s">
        <v>35</v>
      </c>
      <c r="E194" t="s">
        <v>35</v>
      </c>
      <c r="F194">
        <v>0.88</v>
      </c>
      <c r="G194">
        <v>0.03</v>
      </c>
      <c r="H194">
        <v>0</v>
      </c>
      <c r="I194">
        <v>0</v>
      </c>
      <c r="J194">
        <v>0.09</v>
      </c>
      <c r="K194">
        <v>0.875</v>
      </c>
      <c r="L194" t="s">
        <v>35</v>
      </c>
      <c r="M194">
        <v>5.0000000000000001E-3</v>
      </c>
      <c r="N194">
        <v>0.12</v>
      </c>
      <c r="O194">
        <v>210</v>
      </c>
      <c r="P194">
        <f t="shared" si="9"/>
        <v>0.64749999999999996</v>
      </c>
      <c r="Q194" t="s">
        <v>35</v>
      </c>
      <c r="R194" t="s">
        <v>35</v>
      </c>
      <c r="S194" t="s">
        <v>35</v>
      </c>
      <c r="T194">
        <v>0</v>
      </c>
      <c r="U194">
        <v>0</v>
      </c>
      <c r="V194">
        <v>1</v>
      </c>
      <c r="W194" t="s">
        <v>35</v>
      </c>
      <c r="X194" t="s">
        <v>35</v>
      </c>
      <c r="Y194" t="s">
        <v>35</v>
      </c>
      <c r="Z194">
        <v>0</v>
      </c>
      <c r="AA194">
        <v>0</v>
      </c>
      <c r="AB194">
        <v>1.5</v>
      </c>
      <c r="AC194">
        <v>20</v>
      </c>
      <c r="AD194">
        <v>1000</v>
      </c>
      <c r="AE194">
        <v>30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1</v>
      </c>
      <c r="AL194">
        <f t="shared" si="10"/>
        <v>0.03</v>
      </c>
      <c r="AM194">
        <v>0.65200000000000002</v>
      </c>
    </row>
    <row r="195" spans="1:39" x14ac:dyDescent="0.25">
      <c r="A195" s="3" t="s">
        <v>199</v>
      </c>
      <c r="B195" t="s">
        <v>188</v>
      </c>
      <c r="C195">
        <v>210</v>
      </c>
      <c r="D195" t="s">
        <v>35</v>
      </c>
      <c r="E195" t="s">
        <v>35</v>
      </c>
      <c r="F195">
        <v>0.87</v>
      </c>
      <c r="G195">
        <v>0.02</v>
      </c>
      <c r="H195">
        <v>0</v>
      </c>
      <c r="I195">
        <v>0</v>
      </c>
      <c r="J195">
        <v>0.11</v>
      </c>
      <c r="K195">
        <v>0.93</v>
      </c>
      <c r="L195" t="s">
        <v>35</v>
      </c>
      <c r="M195">
        <v>0.01</v>
      </c>
      <c r="N195">
        <v>0.06</v>
      </c>
      <c r="O195">
        <v>210</v>
      </c>
      <c r="P195">
        <f t="shared" si="9"/>
        <v>0.64749999999999996</v>
      </c>
      <c r="Q195" t="s">
        <v>35</v>
      </c>
      <c r="R195" t="s">
        <v>35</v>
      </c>
      <c r="S195" t="s">
        <v>35</v>
      </c>
      <c r="T195">
        <v>0</v>
      </c>
      <c r="U195">
        <v>0</v>
      </c>
      <c r="V195">
        <v>1</v>
      </c>
      <c r="W195" t="s">
        <v>35</v>
      </c>
      <c r="X195" t="s">
        <v>35</v>
      </c>
      <c r="Y195" t="s">
        <v>35</v>
      </c>
      <c r="Z195">
        <v>0</v>
      </c>
      <c r="AA195">
        <v>0</v>
      </c>
      <c r="AB195">
        <v>1.5</v>
      </c>
      <c r="AC195">
        <v>20</v>
      </c>
      <c r="AD195">
        <v>1000</v>
      </c>
      <c r="AE195">
        <v>30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f t="shared" si="10"/>
        <v>0.03</v>
      </c>
      <c r="AM195">
        <v>0.70899999999999996</v>
      </c>
    </row>
    <row r="196" spans="1:39" x14ac:dyDescent="0.25">
      <c r="A196" s="3" t="s">
        <v>199</v>
      </c>
      <c r="B196" t="s">
        <v>189</v>
      </c>
      <c r="C196">
        <v>210</v>
      </c>
      <c r="D196" t="s">
        <v>35</v>
      </c>
      <c r="E196" t="s">
        <v>35</v>
      </c>
      <c r="F196">
        <v>0.92</v>
      </c>
      <c r="G196">
        <v>7.0000000000000007E-2</v>
      </c>
      <c r="H196">
        <v>0</v>
      </c>
      <c r="I196">
        <v>0</v>
      </c>
      <c r="J196">
        <v>0.01</v>
      </c>
      <c r="K196">
        <v>0.97</v>
      </c>
      <c r="L196" t="s">
        <v>35</v>
      </c>
      <c r="M196">
        <v>0.01</v>
      </c>
      <c r="N196">
        <v>0.02</v>
      </c>
      <c r="O196">
        <v>210</v>
      </c>
      <c r="P196">
        <f t="shared" si="9"/>
        <v>0.64749999999999996</v>
      </c>
      <c r="Q196" t="s">
        <v>35</v>
      </c>
      <c r="R196" t="s">
        <v>35</v>
      </c>
      <c r="S196" t="s">
        <v>35</v>
      </c>
      <c r="T196">
        <v>0</v>
      </c>
      <c r="U196">
        <v>0</v>
      </c>
      <c r="V196">
        <v>1</v>
      </c>
      <c r="W196" t="s">
        <v>35</v>
      </c>
      <c r="X196" t="s">
        <v>35</v>
      </c>
      <c r="Y196" t="s">
        <v>35</v>
      </c>
      <c r="Z196">
        <v>0</v>
      </c>
      <c r="AA196">
        <v>0</v>
      </c>
      <c r="AB196">
        <v>1.5</v>
      </c>
      <c r="AC196">
        <v>20</v>
      </c>
      <c r="AD196">
        <v>1000</v>
      </c>
      <c r="AE196">
        <v>30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f t="shared" si="10"/>
        <v>0.03</v>
      </c>
      <c r="AM196">
        <v>0.505</v>
      </c>
    </row>
    <row r="197" spans="1:39" x14ac:dyDescent="0.25">
      <c r="A197" s="3" t="s">
        <v>199</v>
      </c>
      <c r="B197" t="s">
        <v>190</v>
      </c>
      <c r="C197">
        <v>210</v>
      </c>
      <c r="D197" t="s">
        <v>35</v>
      </c>
      <c r="E197" t="s">
        <v>35</v>
      </c>
      <c r="F197">
        <v>0.89</v>
      </c>
      <c r="G197">
        <v>1.4999999999999999E-2</v>
      </c>
      <c r="H197">
        <v>0</v>
      </c>
      <c r="I197">
        <v>0</v>
      </c>
      <c r="J197">
        <v>6.5000000000000002E-2</v>
      </c>
      <c r="K197">
        <v>0.93500000000000005</v>
      </c>
      <c r="L197" t="s">
        <v>35</v>
      </c>
      <c r="M197">
        <v>1.4999999999999999E-2</v>
      </c>
      <c r="N197">
        <v>0.05</v>
      </c>
      <c r="O197">
        <v>210</v>
      </c>
      <c r="P197">
        <f t="shared" si="9"/>
        <v>0.64749999999999996</v>
      </c>
      <c r="Q197" t="s">
        <v>35</v>
      </c>
      <c r="R197" t="s">
        <v>35</v>
      </c>
      <c r="S197" t="s">
        <v>35</v>
      </c>
      <c r="T197">
        <v>0</v>
      </c>
      <c r="U197">
        <v>0</v>
      </c>
      <c r="V197">
        <v>1</v>
      </c>
      <c r="W197" t="s">
        <v>35</v>
      </c>
      <c r="X197" t="s">
        <v>35</v>
      </c>
      <c r="Y197" t="s">
        <v>35</v>
      </c>
      <c r="Z197">
        <v>0</v>
      </c>
      <c r="AA197">
        <v>0</v>
      </c>
      <c r="AB197">
        <v>1.5</v>
      </c>
      <c r="AC197">
        <v>20</v>
      </c>
      <c r="AD197">
        <v>850</v>
      </c>
      <c r="AE197">
        <v>30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1</v>
      </c>
      <c r="AL197">
        <f t="shared" si="10"/>
        <v>0.03</v>
      </c>
      <c r="AM197">
        <v>0.33019999999999999</v>
      </c>
    </row>
    <row r="198" spans="1:39" x14ac:dyDescent="0.25">
      <c r="A198" s="3" t="s">
        <v>199</v>
      </c>
      <c r="B198" t="s">
        <v>191</v>
      </c>
      <c r="C198">
        <v>210</v>
      </c>
      <c r="D198" t="s">
        <v>35</v>
      </c>
      <c r="E198" t="s">
        <v>35</v>
      </c>
      <c r="F198">
        <v>0.87</v>
      </c>
      <c r="G198">
        <v>0.02</v>
      </c>
      <c r="H198">
        <v>0</v>
      </c>
      <c r="I198">
        <v>0</v>
      </c>
      <c r="J198">
        <v>0.11</v>
      </c>
      <c r="K198">
        <v>0.93</v>
      </c>
      <c r="L198" t="s">
        <v>35</v>
      </c>
      <c r="M198">
        <v>0.01</v>
      </c>
      <c r="N198">
        <v>0.06</v>
      </c>
      <c r="O198">
        <v>210</v>
      </c>
      <c r="P198">
        <f t="shared" si="9"/>
        <v>0.64749999999999996</v>
      </c>
      <c r="Q198" t="s">
        <v>35</v>
      </c>
      <c r="R198" t="s">
        <v>35</v>
      </c>
      <c r="S198" t="s">
        <v>35</v>
      </c>
      <c r="T198">
        <v>0</v>
      </c>
      <c r="U198">
        <v>0</v>
      </c>
      <c r="V198">
        <v>1</v>
      </c>
      <c r="W198" t="s">
        <v>35</v>
      </c>
      <c r="X198" t="s">
        <v>35</v>
      </c>
      <c r="Y198" t="s">
        <v>35</v>
      </c>
      <c r="Z198">
        <v>0</v>
      </c>
      <c r="AA198">
        <v>0</v>
      </c>
      <c r="AB198">
        <v>1.5</v>
      </c>
      <c r="AC198">
        <v>20</v>
      </c>
      <c r="AD198">
        <v>850</v>
      </c>
      <c r="AE198">
        <v>30</v>
      </c>
      <c r="AF198">
        <v>1</v>
      </c>
      <c r="AG198">
        <v>0</v>
      </c>
      <c r="AH198">
        <v>0</v>
      </c>
      <c r="AI198">
        <v>0</v>
      </c>
      <c r="AJ198">
        <v>0</v>
      </c>
      <c r="AK198">
        <v>1</v>
      </c>
      <c r="AL198">
        <f t="shared" si="10"/>
        <v>0.03</v>
      </c>
      <c r="AM198">
        <v>0.29830000000000001</v>
      </c>
    </row>
    <row r="199" spans="1:39" x14ac:dyDescent="0.25">
      <c r="A199" s="3" t="s">
        <v>199</v>
      </c>
      <c r="B199" t="s">
        <v>192</v>
      </c>
      <c r="C199">
        <v>210</v>
      </c>
      <c r="D199" t="s">
        <v>35</v>
      </c>
      <c r="E199" t="s">
        <v>35</v>
      </c>
      <c r="F199">
        <v>0.82</v>
      </c>
      <c r="G199">
        <v>0.02</v>
      </c>
      <c r="H199">
        <v>0</v>
      </c>
      <c r="I199">
        <v>0</v>
      </c>
      <c r="J199">
        <v>0.16</v>
      </c>
      <c r="K199">
        <v>0.84</v>
      </c>
      <c r="L199" t="s">
        <v>35</v>
      </c>
      <c r="M199">
        <v>0.08</v>
      </c>
      <c r="N199">
        <v>0.08</v>
      </c>
      <c r="O199">
        <v>210</v>
      </c>
      <c r="P199">
        <f t="shared" si="9"/>
        <v>0.64749999999999996</v>
      </c>
      <c r="Q199" t="s">
        <v>35</v>
      </c>
      <c r="R199" t="s">
        <v>35</v>
      </c>
      <c r="S199" t="s">
        <v>35</v>
      </c>
      <c r="T199">
        <v>0</v>
      </c>
      <c r="U199">
        <v>0</v>
      </c>
      <c r="V199">
        <v>1</v>
      </c>
      <c r="W199" t="s">
        <v>35</v>
      </c>
      <c r="X199" t="s">
        <v>35</v>
      </c>
      <c r="Y199" t="s">
        <v>35</v>
      </c>
      <c r="Z199">
        <v>0</v>
      </c>
      <c r="AA199">
        <v>0</v>
      </c>
      <c r="AB199">
        <v>1.5</v>
      </c>
      <c r="AC199">
        <v>20</v>
      </c>
      <c r="AD199">
        <v>850</v>
      </c>
      <c r="AE199">
        <v>30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f t="shared" si="10"/>
        <v>0.03</v>
      </c>
      <c r="AM199">
        <v>0.35049999999999998</v>
      </c>
    </row>
    <row r="200" spans="1:39" x14ac:dyDescent="0.25">
      <c r="A200" s="3" t="s">
        <v>199</v>
      </c>
      <c r="B200" t="s">
        <v>193</v>
      </c>
      <c r="C200">
        <v>210</v>
      </c>
      <c r="D200" t="s">
        <v>35</v>
      </c>
      <c r="E200" t="s">
        <v>35</v>
      </c>
      <c r="F200">
        <v>0.89</v>
      </c>
      <c r="G200">
        <v>1.4999999999999999E-2</v>
      </c>
      <c r="H200">
        <v>0</v>
      </c>
      <c r="I200">
        <v>0</v>
      </c>
      <c r="J200">
        <v>6.5000000000000002E-2</v>
      </c>
      <c r="K200">
        <v>0.93500000000000005</v>
      </c>
      <c r="L200" t="s">
        <v>35</v>
      </c>
      <c r="M200">
        <v>1.4999999999999999E-2</v>
      </c>
      <c r="N200">
        <v>0.05</v>
      </c>
      <c r="O200">
        <v>210</v>
      </c>
      <c r="P200">
        <f t="shared" si="9"/>
        <v>0.64749999999999996</v>
      </c>
      <c r="Q200" t="s">
        <v>35</v>
      </c>
      <c r="R200" t="s">
        <v>35</v>
      </c>
      <c r="S200" t="s">
        <v>35</v>
      </c>
      <c r="T200">
        <v>0</v>
      </c>
      <c r="U200">
        <v>0</v>
      </c>
      <c r="V200">
        <v>1</v>
      </c>
      <c r="W200" t="s">
        <v>35</v>
      </c>
      <c r="X200" t="s">
        <v>35</v>
      </c>
      <c r="Y200" t="s">
        <v>35</v>
      </c>
      <c r="Z200">
        <v>0</v>
      </c>
      <c r="AA200">
        <v>0</v>
      </c>
      <c r="AB200">
        <v>1.5</v>
      </c>
      <c r="AC200">
        <v>20</v>
      </c>
      <c r="AD200">
        <v>900</v>
      </c>
      <c r="AE200">
        <v>30</v>
      </c>
      <c r="AF200">
        <v>1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f t="shared" si="10"/>
        <v>0.03</v>
      </c>
      <c r="AM200">
        <v>0.40100000000000002</v>
      </c>
    </row>
    <row r="201" spans="1:39" x14ac:dyDescent="0.25">
      <c r="A201" s="3" t="s">
        <v>199</v>
      </c>
      <c r="B201" t="s">
        <v>194</v>
      </c>
      <c r="C201">
        <v>210</v>
      </c>
      <c r="D201" t="s">
        <v>35</v>
      </c>
      <c r="E201" t="s">
        <v>35</v>
      </c>
      <c r="F201">
        <v>0.87</v>
      </c>
      <c r="G201">
        <v>0.02</v>
      </c>
      <c r="H201">
        <v>0</v>
      </c>
      <c r="I201">
        <v>0</v>
      </c>
      <c r="J201">
        <v>0.11</v>
      </c>
      <c r="K201">
        <v>0.93</v>
      </c>
      <c r="L201" t="s">
        <v>35</v>
      </c>
      <c r="M201">
        <v>0.01</v>
      </c>
      <c r="N201">
        <v>0.06</v>
      </c>
      <c r="O201">
        <v>210</v>
      </c>
      <c r="P201">
        <f t="shared" si="9"/>
        <v>0.64749999999999996</v>
      </c>
      <c r="Q201" t="s">
        <v>35</v>
      </c>
      <c r="R201" t="s">
        <v>35</v>
      </c>
      <c r="S201" t="s">
        <v>35</v>
      </c>
      <c r="T201">
        <v>0</v>
      </c>
      <c r="U201">
        <v>0</v>
      </c>
      <c r="V201">
        <v>1</v>
      </c>
      <c r="W201" t="s">
        <v>35</v>
      </c>
      <c r="X201" t="s">
        <v>35</v>
      </c>
      <c r="Y201" t="s">
        <v>35</v>
      </c>
      <c r="Z201">
        <v>0</v>
      </c>
      <c r="AA201">
        <v>0</v>
      </c>
      <c r="AB201">
        <v>1.5</v>
      </c>
      <c r="AC201">
        <v>20</v>
      </c>
      <c r="AD201">
        <v>900</v>
      </c>
      <c r="AE201">
        <v>30</v>
      </c>
      <c r="AF201">
        <v>1</v>
      </c>
      <c r="AG201">
        <v>0</v>
      </c>
      <c r="AH201">
        <v>0</v>
      </c>
      <c r="AI201">
        <v>0</v>
      </c>
      <c r="AJ201">
        <v>0</v>
      </c>
      <c r="AK201">
        <v>1</v>
      </c>
      <c r="AL201">
        <f t="shared" si="10"/>
        <v>0.03</v>
      </c>
      <c r="AM201">
        <v>0.37819999999999998</v>
      </c>
    </row>
    <row r="202" spans="1:39" x14ac:dyDescent="0.25">
      <c r="A202" s="3" t="s">
        <v>199</v>
      </c>
      <c r="B202" t="s">
        <v>195</v>
      </c>
      <c r="C202">
        <v>210</v>
      </c>
      <c r="D202" t="s">
        <v>35</v>
      </c>
      <c r="E202" t="s">
        <v>35</v>
      </c>
      <c r="F202">
        <v>0.82</v>
      </c>
      <c r="G202">
        <v>0.02</v>
      </c>
      <c r="H202">
        <v>0</v>
      </c>
      <c r="I202">
        <v>0</v>
      </c>
      <c r="J202">
        <v>0.16</v>
      </c>
      <c r="K202">
        <v>0.84</v>
      </c>
      <c r="L202" t="s">
        <v>35</v>
      </c>
      <c r="M202">
        <v>0.08</v>
      </c>
      <c r="N202">
        <v>0.08</v>
      </c>
      <c r="O202">
        <v>210</v>
      </c>
      <c r="P202">
        <f t="shared" si="9"/>
        <v>0.64749999999999996</v>
      </c>
      <c r="Q202" t="s">
        <v>35</v>
      </c>
      <c r="R202" t="s">
        <v>35</v>
      </c>
      <c r="S202" t="s">
        <v>35</v>
      </c>
      <c r="T202">
        <v>0</v>
      </c>
      <c r="U202">
        <v>0</v>
      </c>
      <c r="V202">
        <v>1</v>
      </c>
      <c r="W202" t="s">
        <v>35</v>
      </c>
      <c r="X202" t="s">
        <v>35</v>
      </c>
      <c r="Y202" t="s">
        <v>35</v>
      </c>
      <c r="Z202">
        <v>0</v>
      </c>
      <c r="AA202">
        <v>0</v>
      </c>
      <c r="AB202">
        <v>1.5</v>
      </c>
      <c r="AC202">
        <v>20</v>
      </c>
      <c r="AD202">
        <v>900</v>
      </c>
      <c r="AE202">
        <v>30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1</v>
      </c>
      <c r="AL202">
        <f t="shared" si="10"/>
        <v>0.03</v>
      </c>
      <c r="AM202">
        <v>0.44800000000000001</v>
      </c>
    </row>
    <row r="203" spans="1:39" x14ac:dyDescent="0.25">
      <c r="A203" s="3" t="s">
        <v>199</v>
      </c>
      <c r="B203" t="s">
        <v>196</v>
      </c>
      <c r="C203">
        <v>210</v>
      </c>
      <c r="D203" t="s">
        <v>35</v>
      </c>
      <c r="E203" t="s">
        <v>35</v>
      </c>
      <c r="F203">
        <v>0.89</v>
      </c>
      <c r="G203">
        <v>1.4999999999999999E-2</v>
      </c>
      <c r="H203">
        <v>0</v>
      </c>
      <c r="I203">
        <v>0</v>
      </c>
      <c r="J203">
        <v>6.5000000000000002E-2</v>
      </c>
      <c r="K203">
        <v>0.93500000000000005</v>
      </c>
      <c r="L203" t="s">
        <v>35</v>
      </c>
      <c r="M203">
        <v>1.4999999999999999E-2</v>
      </c>
      <c r="N203">
        <v>0.05</v>
      </c>
      <c r="O203">
        <v>210</v>
      </c>
      <c r="P203">
        <f t="shared" si="9"/>
        <v>0.64749999999999996</v>
      </c>
      <c r="Q203" t="s">
        <v>35</v>
      </c>
      <c r="R203" t="s">
        <v>35</v>
      </c>
      <c r="S203" t="s">
        <v>35</v>
      </c>
      <c r="T203">
        <v>0</v>
      </c>
      <c r="U203">
        <v>0</v>
      </c>
      <c r="V203">
        <v>1</v>
      </c>
      <c r="W203" t="s">
        <v>35</v>
      </c>
      <c r="X203" t="s">
        <v>35</v>
      </c>
      <c r="Y203" t="s">
        <v>35</v>
      </c>
      <c r="Z203">
        <v>0</v>
      </c>
      <c r="AA203">
        <v>0</v>
      </c>
      <c r="AB203">
        <v>1.5</v>
      </c>
      <c r="AC203">
        <v>20</v>
      </c>
      <c r="AD203">
        <v>950</v>
      </c>
      <c r="AE203">
        <v>30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f t="shared" si="10"/>
        <v>0.03</v>
      </c>
      <c r="AM203">
        <v>0.63229999999999997</v>
      </c>
    </row>
    <row r="204" spans="1:39" x14ac:dyDescent="0.25">
      <c r="A204" s="3" t="s">
        <v>199</v>
      </c>
      <c r="B204" t="s">
        <v>197</v>
      </c>
      <c r="C204">
        <v>210</v>
      </c>
      <c r="D204" t="s">
        <v>35</v>
      </c>
      <c r="E204" t="s">
        <v>35</v>
      </c>
      <c r="F204">
        <v>0.87</v>
      </c>
      <c r="G204">
        <v>0.02</v>
      </c>
      <c r="H204">
        <v>0</v>
      </c>
      <c r="I204">
        <v>0</v>
      </c>
      <c r="J204">
        <v>0.11</v>
      </c>
      <c r="K204">
        <v>0.93</v>
      </c>
      <c r="L204" t="s">
        <v>35</v>
      </c>
      <c r="M204">
        <v>0.01</v>
      </c>
      <c r="N204">
        <v>0.06</v>
      </c>
      <c r="O204">
        <v>210</v>
      </c>
      <c r="P204">
        <f t="shared" si="9"/>
        <v>0.64749999999999996</v>
      </c>
      <c r="Q204" t="s">
        <v>35</v>
      </c>
      <c r="R204" t="s">
        <v>35</v>
      </c>
      <c r="S204" t="s">
        <v>35</v>
      </c>
      <c r="T204">
        <v>0</v>
      </c>
      <c r="U204">
        <v>0</v>
      </c>
      <c r="V204">
        <v>1</v>
      </c>
      <c r="W204" t="s">
        <v>35</v>
      </c>
      <c r="X204" t="s">
        <v>35</v>
      </c>
      <c r="Y204" t="s">
        <v>35</v>
      </c>
      <c r="Z204">
        <v>0</v>
      </c>
      <c r="AA204">
        <v>0</v>
      </c>
      <c r="AB204">
        <v>1.5</v>
      </c>
      <c r="AC204">
        <v>20</v>
      </c>
      <c r="AD204">
        <v>950</v>
      </c>
      <c r="AE204">
        <v>30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1</v>
      </c>
      <c r="AL204">
        <f t="shared" si="10"/>
        <v>0.03</v>
      </c>
      <c r="AM204">
        <v>0.54530000000000001</v>
      </c>
    </row>
    <row r="205" spans="1:39" x14ac:dyDescent="0.25">
      <c r="A205" s="3" t="s">
        <v>199</v>
      </c>
      <c r="B205" t="s">
        <v>198</v>
      </c>
      <c r="C205">
        <v>210</v>
      </c>
      <c r="D205" t="s">
        <v>35</v>
      </c>
      <c r="E205" t="s">
        <v>35</v>
      </c>
      <c r="F205">
        <v>0.82</v>
      </c>
      <c r="G205">
        <v>0.02</v>
      </c>
      <c r="H205">
        <v>0</v>
      </c>
      <c r="I205">
        <v>0</v>
      </c>
      <c r="J205">
        <v>0.16</v>
      </c>
      <c r="K205">
        <v>0.84</v>
      </c>
      <c r="L205" t="s">
        <v>35</v>
      </c>
      <c r="M205">
        <v>0.08</v>
      </c>
      <c r="N205">
        <v>0.08</v>
      </c>
      <c r="O205">
        <v>210</v>
      </c>
      <c r="P205">
        <f t="shared" si="9"/>
        <v>0.64749999999999996</v>
      </c>
      <c r="Q205" t="s">
        <v>35</v>
      </c>
      <c r="R205" t="s">
        <v>35</v>
      </c>
      <c r="S205" t="s">
        <v>35</v>
      </c>
      <c r="T205">
        <v>0</v>
      </c>
      <c r="U205">
        <v>0</v>
      </c>
      <c r="V205">
        <v>1</v>
      </c>
      <c r="W205" t="s">
        <v>35</v>
      </c>
      <c r="X205" t="s">
        <v>35</v>
      </c>
      <c r="Y205" t="s">
        <v>35</v>
      </c>
      <c r="Z205">
        <v>0</v>
      </c>
      <c r="AA205">
        <v>0</v>
      </c>
      <c r="AB205">
        <v>1.5</v>
      </c>
      <c r="AC205">
        <v>20</v>
      </c>
      <c r="AD205">
        <v>950</v>
      </c>
      <c r="AE205">
        <v>30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1</v>
      </c>
      <c r="AL205">
        <f t="shared" si="10"/>
        <v>0.03</v>
      </c>
      <c r="AM205">
        <v>0.67710000000000004</v>
      </c>
    </row>
    <row r="206" spans="1:39" x14ac:dyDescent="0.25">
      <c r="A206" s="3" t="s">
        <v>199</v>
      </c>
      <c r="B206" t="s">
        <v>184</v>
      </c>
      <c r="C206">
        <v>210</v>
      </c>
      <c r="D206" t="s">
        <v>35</v>
      </c>
      <c r="E206" t="s">
        <v>35</v>
      </c>
      <c r="F206">
        <v>0.89</v>
      </c>
      <c r="G206">
        <v>1.4999999999999999E-2</v>
      </c>
      <c r="H206">
        <v>0</v>
      </c>
      <c r="I206">
        <v>0</v>
      </c>
      <c r="J206">
        <v>6.5000000000000002E-2</v>
      </c>
      <c r="K206">
        <v>0.93500000000000005</v>
      </c>
      <c r="L206" t="s">
        <v>35</v>
      </c>
      <c r="M206">
        <v>1.4999999999999999E-2</v>
      </c>
      <c r="N206">
        <v>0.05</v>
      </c>
      <c r="O206">
        <v>210</v>
      </c>
      <c r="P206">
        <f t="shared" si="9"/>
        <v>0.64749999999999996</v>
      </c>
      <c r="Q206" t="s">
        <v>35</v>
      </c>
      <c r="R206" t="s">
        <v>35</v>
      </c>
      <c r="S206" t="s">
        <v>35</v>
      </c>
      <c r="T206">
        <v>0</v>
      </c>
      <c r="U206">
        <v>0</v>
      </c>
      <c r="V206">
        <v>1</v>
      </c>
      <c r="W206" t="s">
        <v>35</v>
      </c>
      <c r="X206" t="s">
        <v>35</v>
      </c>
      <c r="Y206" t="s">
        <v>35</v>
      </c>
      <c r="Z206">
        <v>0</v>
      </c>
      <c r="AA206">
        <v>0</v>
      </c>
      <c r="AB206">
        <v>1.5</v>
      </c>
      <c r="AC206">
        <v>20</v>
      </c>
      <c r="AD206">
        <v>1000</v>
      </c>
      <c r="AE206">
        <v>30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f t="shared" si="10"/>
        <v>0.03</v>
      </c>
      <c r="AM206">
        <v>0.81759999999999999</v>
      </c>
    </row>
    <row r="207" spans="1:39" x14ac:dyDescent="0.25">
      <c r="A207" s="3" t="s">
        <v>199</v>
      </c>
      <c r="B207" t="s">
        <v>188</v>
      </c>
      <c r="C207">
        <v>210</v>
      </c>
      <c r="D207" t="s">
        <v>35</v>
      </c>
      <c r="E207" t="s">
        <v>35</v>
      </c>
      <c r="F207">
        <v>0.87</v>
      </c>
      <c r="G207">
        <v>0.02</v>
      </c>
      <c r="H207">
        <v>0</v>
      </c>
      <c r="I207">
        <v>0</v>
      </c>
      <c r="J207">
        <v>0.11</v>
      </c>
      <c r="K207">
        <v>0.93</v>
      </c>
      <c r="L207" t="s">
        <v>35</v>
      </c>
      <c r="M207">
        <v>0.01</v>
      </c>
      <c r="N207">
        <v>0.06</v>
      </c>
      <c r="O207">
        <v>210</v>
      </c>
      <c r="P207">
        <f t="shared" si="9"/>
        <v>0.64749999999999996</v>
      </c>
      <c r="Q207" t="s">
        <v>35</v>
      </c>
      <c r="R207" t="s">
        <v>35</v>
      </c>
      <c r="S207" t="s">
        <v>35</v>
      </c>
      <c r="T207">
        <v>0</v>
      </c>
      <c r="U207">
        <v>0</v>
      </c>
      <c r="V207">
        <v>1</v>
      </c>
      <c r="W207" t="s">
        <v>35</v>
      </c>
      <c r="X207" t="s">
        <v>35</v>
      </c>
      <c r="Y207" t="s">
        <v>35</v>
      </c>
      <c r="Z207">
        <v>0</v>
      </c>
      <c r="AA207">
        <v>0</v>
      </c>
      <c r="AB207">
        <v>1.5</v>
      </c>
      <c r="AC207">
        <v>20</v>
      </c>
      <c r="AD207">
        <v>1000</v>
      </c>
      <c r="AE207">
        <v>30</v>
      </c>
      <c r="AF207">
        <v>1</v>
      </c>
      <c r="AG207">
        <v>0</v>
      </c>
      <c r="AH207">
        <v>0</v>
      </c>
      <c r="AI207">
        <v>0</v>
      </c>
      <c r="AJ207">
        <v>0</v>
      </c>
      <c r="AK207">
        <v>1</v>
      </c>
      <c r="AL207">
        <f t="shared" si="10"/>
        <v>0.03</v>
      </c>
      <c r="AM207">
        <v>0.70340000000000003</v>
      </c>
    </row>
    <row r="208" spans="1:39" x14ac:dyDescent="0.25">
      <c r="A208" s="3" t="s">
        <v>199</v>
      </c>
      <c r="B208" t="s">
        <v>182</v>
      </c>
      <c r="C208">
        <v>210</v>
      </c>
      <c r="D208" t="s">
        <v>35</v>
      </c>
      <c r="E208" t="s">
        <v>35</v>
      </c>
      <c r="F208">
        <v>0.82</v>
      </c>
      <c r="G208">
        <v>0.02</v>
      </c>
      <c r="H208">
        <v>0</v>
      </c>
      <c r="I208">
        <v>0</v>
      </c>
      <c r="J208">
        <v>0.16</v>
      </c>
      <c r="K208">
        <v>0.84</v>
      </c>
      <c r="L208" t="s">
        <v>35</v>
      </c>
      <c r="M208">
        <v>0.08</v>
      </c>
      <c r="N208">
        <v>0.08</v>
      </c>
      <c r="O208">
        <v>210</v>
      </c>
      <c r="P208">
        <f t="shared" si="9"/>
        <v>0.64749999999999996</v>
      </c>
      <c r="Q208" t="s">
        <v>35</v>
      </c>
      <c r="R208" t="s">
        <v>35</v>
      </c>
      <c r="S208" t="s">
        <v>35</v>
      </c>
      <c r="T208">
        <v>0</v>
      </c>
      <c r="U208">
        <v>0</v>
      </c>
      <c r="V208">
        <v>1</v>
      </c>
      <c r="W208" t="s">
        <v>35</v>
      </c>
      <c r="X208" t="s">
        <v>35</v>
      </c>
      <c r="Y208" t="s">
        <v>35</v>
      </c>
      <c r="Z208">
        <v>0</v>
      </c>
      <c r="AA208">
        <v>0</v>
      </c>
      <c r="AB208">
        <v>1.5</v>
      </c>
      <c r="AC208">
        <v>20</v>
      </c>
      <c r="AD208">
        <v>1000</v>
      </c>
      <c r="AE208">
        <v>30</v>
      </c>
      <c r="AF208">
        <v>1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f t="shared" si="10"/>
        <v>0.03</v>
      </c>
      <c r="AM208">
        <v>0.82969999999999999</v>
      </c>
    </row>
    <row r="209" spans="1:39" x14ac:dyDescent="0.25">
      <c r="A209" s="4" t="s">
        <v>219</v>
      </c>
      <c r="B209" t="s">
        <v>220</v>
      </c>
      <c r="C209">
        <v>74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>
        <v>0.67700000000000005</v>
      </c>
      <c r="L209" t="s">
        <v>35</v>
      </c>
      <c r="M209">
        <v>4.2000000000000003E-2</v>
      </c>
      <c r="N209">
        <v>0.28100000000000003</v>
      </c>
      <c r="O209" t="s">
        <v>35</v>
      </c>
      <c r="P209">
        <v>0.65390000000000004</v>
      </c>
      <c r="Q209" t="s">
        <v>35</v>
      </c>
      <c r="R209" t="s">
        <v>35</v>
      </c>
      <c r="S209" t="s">
        <v>35</v>
      </c>
      <c r="T209">
        <v>3.04</v>
      </c>
      <c r="U209">
        <v>1</v>
      </c>
      <c r="V209" t="s">
        <v>35</v>
      </c>
      <c r="W209" t="s">
        <v>35</v>
      </c>
      <c r="X209" t="s">
        <v>35</v>
      </c>
      <c r="Y209">
        <v>0.01</v>
      </c>
      <c r="Z209">
        <v>0.01</v>
      </c>
      <c r="AA209">
        <v>0</v>
      </c>
      <c r="AB209">
        <v>0.8</v>
      </c>
      <c r="AC209">
        <v>20</v>
      </c>
      <c r="AD209">
        <v>1100</v>
      </c>
      <c r="AE209">
        <v>15</v>
      </c>
      <c r="AF209">
        <v>1</v>
      </c>
      <c r="AG209" t="s">
        <v>35</v>
      </c>
      <c r="AH209" t="s">
        <v>35</v>
      </c>
      <c r="AI209" t="s">
        <v>35</v>
      </c>
      <c r="AJ209" t="s">
        <v>35</v>
      </c>
      <c r="AK209" t="s">
        <v>35</v>
      </c>
      <c r="AL209">
        <f>40*60/1000000</f>
        <v>2.3999999999999998E-3</v>
      </c>
      <c r="AM209" t="s">
        <v>35</v>
      </c>
    </row>
    <row r="210" spans="1:39" x14ac:dyDescent="0.25">
      <c r="A210" s="4" t="s">
        <v>219</v>
      </c>
      <c r="B210" t="s">
        <v>221</v>
      </c>
      <c r="C210">
        <v>89.5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>
        <v>0.67700000000000005</v>
      </c>
      <c r="L210" t="s">
        <v>35</v>
      </c>
      <c r="M210">
        <v>4.2000000000000003E-2</v>
      </c>
      <c r="N210">
        <v>0.28100000000000003</v>
      </c>
      <c r="O210" t="s">
        <v>35</v>
      </c>
      <c r="P210">
        <v>0.65390000000000004</v>
      </c>
      <c r="Q210" t="s">
        <v>35</v>
      </c>
      <c r="R210" t="s">
        <v>35</v>
      </c>
      <c r="S210" t="s">
        <v>35</v>
      </c>
      <c r="T210">
        <v>3.04</v>
      </c>
      <c r="U210">
        <v>1</v>
      </c>
      <c r="V210" t="s">
        <v>35</v>
      </c>
      <c r="W210" t="s">
        <v>35</v>
      </c>
      <c r="X210" t="s">
        <v>35</v>
      </c>
      <c r="Y210">
        <v>0.01</v>
      </c>
      <c r="Z210">
        <v>0.01</v>
      </c>
      <c r="AA210">
        <v>0</v>
      </c>
      <c r="AB210">
        <v>0.8</v>
      </c>
      <c r="AC210">
        <v>20</v>
      </c>
      <c r="AD210">
        <v>1100</v>
      </c>
      <c r="AE210">
        <v>15</v>
      </c>
      <c r="AF210">
        <v>1</v>
      </c>
      <c r="AG210" t="s">
        <v>35</v>
      </c>
      <c r="AH210" t="s">
        <v>35</v>
      </c>
      <c r="AI210" t="s">
        <v>35</v>
      </c>
      <c r="AJ210" t="s">
        <v>35</v>
      </c>
      <c r="AK210" t="s">
        <v>35</v>
      </c>
      <c r="AL210">
        <f t="shared" ref="AL210:AL211" si="11">40*60/1000000</f>
        <v>2.3999999999999998E-3</v>
      </c>
      <c r="AM210" t="s">
        <v>35</v>
      </c>
    </row>
    <row r="211" spans="1:39" x14ac:dyDescent="0.25">
      <c r="A211" s="4" t="s">
        <v>219</v>
      </c>
      <c r="B211" t="s">
        <v>222</v>
      </c>
      <c r="C211">
        <v>127</v>
      </c>
      <c r="D211" t="s">
        <v>35</v>
      </c>
      <c r="E211" t="s">
        <v>35</v>
      </c>
      <c r="F211" t="s">
        <v>35</v>
      </c>
      <c r="G211" t="s">
        <v>35</v>
      </c>
      <c r="H211" t="s">
        <v>35</v>
      </c>
      <c r="I211" t="s">
        <v>35</v>
      </c>
      <c r="J211" t="s">
        <v>35</v>
      </c>
      <c r="K211">
        <v>0.67700000000000005</v>
      </c>
      <c r="L211" t="s">
        <v>35</v>
      </c>
      <c r="M211">
        <v>4.2000000000000003E-2</v>
      </c>
      <c r="N211">
        <v>0.28100000000000003</v>
      </c>
      <c r="O211" t="s">
        <v>35</v>
      </c>
      <c r="P211">
        <v>0.65390000000000004</v>
      </c>
      <c r="Q211" t="s">
        <v>35</v>
      </c>
      <c r="R211" t="s">
        <v>35</v>
      </c>
      <c r="S211" t="s">
        <v>35</v>
      </c>
      <c r="T211">
        <v>3.01</v>
      </c>
      <c r="U211">
        <v>1</v>
      </c>
      <c r="V211" t="s">
        <v>35</v>
      </c>
      <c r="W211" t="s">
        <v>35</v>
      </c>
      <c r="X211" t="s">
        <v>35</v>
      </c>
      <c r="Y211">
        <v>0.01</v>
      </c>
      <c r="Z211">
        <v>0.01</v>
      </c>
      <c r="AA211">
        <v>0</v>
      </c>
      <c r="AB211">
        <v>0.8</v>
      </c>
      <c r="AC211">
        <v>20</v>
      </c>
      <c r="AD211">
        <v>1100</v>
      </c>
      <c r="AE211">
        <v>15</v>
      </c>
      <c r="AF211">
        <v>1</v>
      </c>
      <c r="AG211" t="s">
        <v>35</v>
      </c>
      <c r="AH211" t="s">
        <v>35</v>
      </c>
      <c r="AI211" t="s">
        <v>35</v>
      </c>
      <c r="AJ211" t="s">
        <v>35</v>
      </c>
      <c r="AK211" t="s">
        <v>35</v>
      </c>
      <c r="AL211">
        <f t="shared" si="11"/>
        <v>2.3999999999999998E-3</v>
      </c>
      <c r="AM211" t="s">
        <v>35</v>
      </c>
    </row>
    <row r="212" spans="1:39" x14ac:dyDescent="0.25">
      <c r="A212" s="4" t="s">
        <v>223</v>
      </c>
      <c r="B212" t="s">
        <v>224</v>
      </c>
      <c r="C212">
        <v>111.5</v>
      </c>
      <c r="D212" t="s">
        <v>35</v>
      </c>
      <c r="E212" t="s">
        <v>35</v>
      </c>
      <c r="F212">
        <v>0.50719999999999998</v>
      </c>
      <c r="G212">
        <v>6.1699999999999998E-2</v>
      </c>
      <c r="H212">
        <v>0.41760000000000003</v>
      </c>
      <c r="I212">
        <v>2.9999999999999997E-4</v>
      </c>
      <c r="J212">
        <v>2.2000000000000001E-3</v>
      </c>
      <c r="K212">
        <v>0.31619999999999998</v>
      </c>
      <c r="L212">
        <v>2.7E-2</v>
      </c>
      <c r="M212">
        <v>9.7999999999999997E-3</v>
      </c>
      <c r="N212">
        <v>0.67400000000000004</v>
      </c>
      <c r="O212">
        <v>101</v>
      </c>
      <c r="P212">
        <v>0.46834999999999999</v>
      </c>
      <c r="Q212" t="s">
        <v>35</v>
      </c>
      <c r="R212" t="s">
        <v>35</v>
      </c>
      <c r="S212">
        <v>4.9299999999999997E-2</v>
      </c>
      <c r="T212" t="s">
        <v>35</v>
      </c>
      <c r="U212" t="s">
        <v>35</v>
      </c>
      <c r="V212" t="s">
        <v>35</v>
      </c>
      <c r="W212">
        <v>0.27300000000000002</v>
      </c>
      <c r="X212">
        <v>0.63700000000000001</v>
      </c>
      <c r="Y212" t="s">
        <v>35</v>
      </c>
      <c r="Z212" t="s">
        <v>35</v>
      </c>
      <c r="AA212" t="s">
        <v>35</v>
      </c>
      <c r="AB212" t="s">
        <v>35</v>
      </c>
      <c r="AC212">
        <v>20</v>
      </c>
      <c r="AD212">
        <v>600</v>
      </c>
      <c r="AE212">
        <v>60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1</v>
      </c>
      <c r="AL212">
        <f>200*60/1000000</f>
        <v>1.2E-2</v>
      </c>
      <c r="AM212">
        <v>0.12</v>
      </c>
    </row>
    <row r="213" spans="1:39" x14ac:dyDescent="0.25">
      <c r="A213" s="4" t="s">
        <v>223</v>
      </c>
      <c r="B213" t="s">
        <v>224</v>
      </c>
      <c r="C213">
        <v>111.5</v>
      </c>
      <c r="D213" t="s">
        <v>35</v>
      </c>
      <c r="E213" t="s">
        <v>35</v>
      </c>
      <c r="F213">
        <v>0.50719999999999998</v>
      </c>
      <c r="G213">
        <v>6.1699999999999998E-2</v>
      </c>
      <c r="H213">
        <v>0.41760000000000003</v>
      </c>
      <c r="I213">
        <v>2.9999999999999997E-4</v>
      </c>
      <c r="J213">
        <v>2.2000000000000001E-3</v>
      </c>
      <c r="K213">
        <v>0.31619999999999998</v>
      </c>
      <c r="L213">
        <v>2.7E-2</v>
      </c>
      <c r="M213">
        <v>9.7999999999999997E-3</v>
      </c>
      <c r="N213">
        <v>0.67400000000000004</v>
      </c>
      <c r="O213">
        <v>101</v>
      </c>
      <c r="P213">
        <v>0.46834999999999999</v>
      </c>
      <c r="Q213" t="s">
        <v>35</v>
      </c>
      <c r="R213" t="s">
        <v>35</v>
      </c>
      <c r="S213">
        <v>4.9299999999999997E-2</v>
      </c>
      <c r="T213" t="s">
        <v>35</v>
      </c>
      <c r="U213" t="s">
        <v>35</v>
      </c>
      <c r="V213" t="s">
        <v>35</v>
      </c>
      <c r="W213">
        <v>0.27300000000000002</v>
      </c>
      <c r="X213">
        <v>0.63700000000000001</v>
      </c>
      <c r="Y213" t="s">
        <v>35</v>
      </c>
      <c r="Z213" t="s">
        <v>35</v>
      </c>
      <c r="AA213" t="s">
        <v>35</v>
      </c>
      <c r="AB213" t="s">
        <v>35</v>
      </c>
      <c r="AC213">
        <v>20</v>
      </c>
      <c r="AD213">
        <v>700</v>
      </c>
      <c r="AE213">
        <v>60</v>
      </c>
      <c r="AF213">
        <v>1</v>
      </c>
      <c r="AG213">
        <v>0</v>
      </c>
      <c r="AH213">
        <v>0</v>
      </c>
      <c r="AI213">
        <v>0</v>
      </c>
      <c r="AJ213">
        <v>0</v>
      </c>
      <c r="AK213">
        <v>1</v>
      </c>
      <c r="AL213">
        <f>200*60/1000000</f>
        <v>1.2E-2</v>
      </c>
      <c r="AM213">
        <v>0.15</v>
      </c>
    </row>
    <row r="214" spans="1:39" x14ac:dyDescent="0.25">
      <c r="A214" s="4" t="s">
        <v>223</v>
      </c>
      <c r="B214" t="s">
        <v>224</v>
      </c>
      <c r="C214">
        <v>111.5</v>
      </c>
      <c r="D214" t="s">
        <v>35</v>
      </c>
      <c r="E214" t="s">
        <v>35</v>
      </c>
      <c r="F214">
        <v>0.50719999999999998</v>
      </c>
      <c r="G214">
        <v>6.1699999999999998E-2</v>
      </c>
      <c r="H214">
        <v>0.41760000000000003</v>
      </c>
      <c r="I214">
        <v>2.9999999999999997E-4</v>
      </c>
      <c r="J214">
        <v>2.2000000000000001E-3</v>
      </c>
      <c r="K214">
        <v>0.31619999999999998</v>
      </c>
      <c r="L214">
        <v>2.7E-2</v>
      </c>
      <c r="M214">
        <v>9.7999999999999997E-3</v>
      </c>
      <c r="N214">
        <v>0.67400000000000004</v>
      </c>
      <c r="O214">
        <v>101</v>
      </c>
      <c r="P214">
        <v>0.46834999999999999</v>
      </c>
      <c r="Q214" t="s">
        <v>35</v>
      </c>
      <c r="R214" t="s">
        <v>35</v>
      </c>
      <c r="S214">
        <v>4.9299999999999997E-2</v>
      </c>
      <c r="T214" t="s">
        <v>35</v>
      </c>
      <c r="U214" t="s">
        <v>35</v>
      </c>
      <c r="V214" t="s">
        <v>35</v>
      </c>
      <c r="W214">
        <v>0.27300000000000002</v>
      </c>
      <c r="X214">
        <v>0.63700000000000001</v>
      </c>
      <c r="Y214" t="s">
        <v>35</v>
      </c>
      <c r="Z214" t="s">
        <v>35</v>
      </c>
      <c r="AA214" t="s">
        <v>35</v>
      </c>
      <c r="AB214" t="s">
        <v>35</v>
      </c>
      <c r="AC214">
        <v>20</v>
      </c>
      <c r="AD214">
        <v>800</v>
      </c>
      <c r="AE214">
        <v>60</v>
      </c>
      <c r="AF214">
        <v>1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f>200*60/1000000</f>
        <v>1.2E-2</v>
      </c>
      <c r="AM214">
        <v>0.5</v>
      </c>
    </row>
    <row r="215" spans="1:39" x14ac:dyDescent="0.25">
      <c r="A215" s="4" t="s">
        <v>223</v>
      </c>
      <c r="B215" t="s">
        <v>224</v>
      </c>
      <c r="C215">
        <v>111.5</v>
      </c>
      <c r="D215" t="s">
        <v>35</v>
      </c>
      <c r="E215" t="s">
        <v>35</v>
      </c>
      <c r="F215">
        <v>0.50719999999999998</v>
      </c>
      <c r="G215">
        <v>6.1699999999999998E-2</v>
      </c>
      <c r="H215">
        <v>0.41760000000000003</v>
      </c>
      <c r="I215">
        <v>2.9999999999999997E-4</v>
      </c>
      <c r="J215">
        <v>2.2000000000000001E-3</v>
      </c>
      <c r="K215">
        <v>0.31619999999999998</v>
      </c>
      <c r="L215">
        <v>2.7E-2</v>
      </c>
      <c r="M215">
        <v>9.7999999999999997E-3</v>
      </c>
      <c r="N215">
        <v>0.67400000000000004</v>
      </c>
      <c r="O215">
        <v>101</v>
      </c>
      <c r="P215">
        <v>0.46834999999999999</v>
      </c>
      <c r="Q215" t="s">
        <v>35</v>
      </c>
      <c r="R215" t="s">
        <v>35</v>
      </c>
      <c r="S215">
        <v>4.9299999999999997E-2</v>
      </c>
      <c r="T215" t="s">
        <v>35</v>
      </c>
      <c r="U215" t="s">
        <v>35</v>
      </c>
      <c r="V215" t="s">
        <v>35</v>
      </c>
      <c r="W215">
        <v>0.27300000000000002</v>
      </c>
      <c r="X215">
        <v>0.63700000000000001</v>
      </c>
      <c r="Y215" t="s">
        <v>35</v>
      </c>
      <c r="Z215" t="s">
        <v>35</v>
      </c>
      <c r="AA215" t="s">
        <v>35</v>
      </c>
      <c r="AB215" t="s">
        <v>35</v>
      </c>
      <c r="AC215">
        <v>20</v>
      </c>
      <c r="AD215">
        <v>850</v>
      </c>
      <c r="AE215">
        <v>60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f>200*60/1000000</f>
        <v>1.2E-2</v>
      </c>
      <c r="AM215">
        <v>0.67500000000000004</v>
      </c>
    </row>
    <row r="216" spans="1:39" x14ac:dyDescent="0.25">
      <c r="A216" s="4" t="s">
        <v>223</v>
      </c>
      <c r="B216" t="s">
        <v>224</v>
      </c>
      <c r="C216">
        <v>111.5</v>
      </c>
      <c r="D216" t="s">
        <v>35</v>
      </c>
      <c r="E216" t="s">
        <v>35</v>
      </c>
      <c r="F216">
        <v>0.50719999999999998</v>
      </c>
      <c r="G216">
        <v>6.1699999999999998E-2</v>
      </c>
      <c r="H216">
        <v>0.41760000000000003</v>
      </c>
      <c r="I216">
        <v>2.9999999999999997E-4</v>
      </c>
      <c r="J216">
        <v>2.2000000000000001E-3</v>
      </c>
      <c r="K216">
        <v>0.31619999999999998</v>
      </c>
      <c r="L216">
        <v>2.7E-2</v>
      </c>
      <c r="M216">
        <v>9.7999999999999997E-3</v>
      </c>
      <c r="N216">
        <v>0.67400000000000004</v>
      </c>
      <c r="O216">
        <v>101</v>
      </c>
      <c r="P216">
        <v>0.46834999999999999</v>
      </c>
      <c r="Q216" t="s">
        <v>35</v>
      </c>
      <c r="R216" t="s">
        <v>35</v>
      </c>
      <c r="S216">
        <v>4.9299999999999997E-2</v>
      </c>
      <c r="T216" t="s">
        <v>35</v>
      </c>
      <c r="U216" t="s">
        <v>35</v>
      </c>
      <c r="V216" t="s">
        <v>35</v>
      </c>
      <c r="W216">
        <v>0.27300000000000002</v>
      </c>
      <c r="X216">
        <v>0.63700000000000001</v>
      </c>
      <c r="Y216" t="s">
        <v>35</v>
      </c>
      <c r="Z216" t="s">
        <v>35</v>
      </c>
      <c r="AA216" t="s">
        <v>35</v>
      </c>
      <c r="AB216" t="s">
        <v>35</v>
      </c>
      <c r="AC216">
        <v>20</v>
      </c>
      <c r="AD216">
        <v>900</v>
      </c>
      <c r="AE216">
        <v>60</v>
      </c>
      <c r="AF216">
        <v>1</v>
      </c>
      <c r="AG216">
        <v>0</v>
      </c>
      <c r="AH216">
        <v>0</v>
      </c>
      <c r="AI216">
        <v>0</v>
      </c>
      <c r="AJ216">
        <v>0</v>
      </c>
      <c r="AK216">
        <v>1</v>
      </c>
      <c r="AL216">
        <f>200*60/1000000</f>
        <v>1.2E-2</v>
      </c>
      <c r="AM216">
        <v>0.82</v>
      </c>
    </row>
    <row r="217" spans="1:39" x14ac:dyDescent="0.25">
      <c r="A217" s="5" t="s">
        <v>225</v>
      </c>
      <c r="B217" t="s">
        <v>226</v>
      </c>
      <c r="C217">
        <v>160</v>
      </c>
      <c r="D217" t="s">
        <v>35</v>
      </c>
      <c r="E217" t="s">
        <v>35</v>
      </c>
      <c r="F217" t="s">
        <v>35</v>
      </c>
      <c r="G217" t="s">
        <v>35</v>
      </c>
      <c r="H217" t="s">
        <v>35</v>
      </c>
      <c r="I217" t="s">
        <v>35</v>
      </c>
      <c r="J217" t="s">
        <v>35</v>
      </c>
      <c r="K217" t="s">
        <v>35</v>
      </c>
      <c r="L217" t="s">
        <v>35</v>
      </c>
      <c r="M217" t="s">
        <v>35</v>
      </c>
      <c r="N217" t="s">
        <v>35</v>
      </c>
      <c r="O217">
        <v>44.8</v>
      </c>
      <c r="P217">
        <v>0.65210000000000001</v>
      </c>
      <c r="Q217" t="s">
        <v>35</v>
      </c>
      <c r="R217" t="s">
        <v>35</v>
      </c>
      <c r="S217" t="s">
        <v>35</v>
      </c>
      <c r="T217" t="s">
        <v>35</v>
      </c>
      <c r="U217" t="s">
        <v>35</v>
      </c>
      <c r="V217">
        <v>1</v>
      </c>
      <c r="W217">
        <v>0.1</v>
      </c>
      <c r="X217">
        <v>0.75</v>
      </c>
      <c r="Y217">
        <v>0.08</v>
      </c>
      <c r="Z217">
        <v>0.03</v>
      </c>
      <c r="AA217">
        <v>0</v>
      </c>
      <c r="AB217" t="s">
        <v>35</v>
      </c>
      <c r="AC217">
        <v>20</v>
      </c>
      <c r="AD217">
        <v>1000</v>
      </c>
      <c r="AE217">
        <v>30</v>
      </c>
      <c r="AF217">
        <v>1</v>
      </c>
      <c r="AG217">
        <v>0.67720000000000002</v>
      </c>
      <c r="AH217">
        <v>0.25719999999999998</v>
      </c>
      <c r="AI217">
        <v>0</v>
      </c>
      <c r="AJ217">
        <v>6.5600000000000006E-2</v>
      </c>
      <c r="AK217">
        <f>1-SUM(AG217:AJ217)</f>
        <v>0</v>
      </c>
      <c r="AL217">
        <f>2*60/1000</f>
        <v>0.12</v>
      </c>
      <c r="AM217">
        <v>0.84199999999999997</v>
      </c>
    </row>
    <row r="218" spans="1:39" x14ac:dyDescent="0.25">
      <c r="A218" s="6" t="s">
        <v>227</v>
      </c>
      <c r="B218" t="s">
        <v>228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>
        <v>0.2089</v>
      </c>
      <c r="L218" t="s">
        <v>35</v>
      </c>
      <c r="M218">
        <v>3.1399999999999997E-2</v>
      </c>
      <c r="N218">
        <v>0.75929999999999997</v>
      </c>
      <c r="O218">
        <v>74</v>
      </c>
      <c r="P218">
        <v>0.66500000000000004</v>
      </c>
      <c r="Q218" t="s">
        <v>35</v>
      </c>
      <c r="R218" t="s">
        <v>35</v>
      </c>
      <c r="S218" t="s">
        <v>35</v>
      </c>
      <c r="T218" t="s">
        <v>35</v>
      </c>
      <c r="U218" t="s">
        <v>35</v>
      </c>
      <c r="V218">
        <v>1</v>
      </c>
      <c r="W218">
        <v>0.438</v>
      </c>
      <c r="X218">
        <v>0.46200000000000002</v>
      </c>
      <c r="Y218">
        <v>0.1</v>
      </c>
      <c r="Z218">
        <v>0</v>
      </c>
      <c r="AA218">
        <v>0</v>
      </c>
      <c r="AB218">
        <v>0.7</v>
      </c>
      <c r="AC218">
        <v>20</v>
      </c>
      <c r="AD218">
        <v>600</v>
      </c>
      <c r="AE218">
        <v>0</v>
      </c>
      <c r="AF218">
        <v>1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f t="shared" ref="AL218:AL281" si="12">1.5*60/1000</f>
        <v>0.09</v>
      </c>
      <c r="AM218">
        <v>0.03</v>
      </c>
    </row>
    <row r="219" spans="1:39" x14ac:dyDescent="0.25">
      <c r="A219" s="6" t="s">
        <v>227</v>
      </c>
      <c r="B219" t="s">
        <v>229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>
        <v>0.879</v>
      </c>
      <c r="L219" t="s">
        <v>35</v>
      </c>
      <c r="M219">
        <v>2.0500000000000001E-2</v>
      </c>
      <c r="N219">
        <v>0.10050000000000001</v>
      </c>
      <c r="O219">
        <v>74</v>
      </c>
      <c r="P219">
        <v>0.66500000000000004</v>
      </c>
      <c r="Q219" t="s">
        <v>35</v>
      </c>
      <c r="R219" t="s">
        <v>35</v>
      </c>
      <c r="S219" t="s">
        <v>35</v>
      </c>
      <c r="T219" t="s">
        <v>35</v>
      </c>
      <c r="U219" t="s">
        <v>35</v>
      </c>
      <c r="V219">
        <v>1</v>
      </c>
      <c r="W219">
        <v>0.1656</v>
      </c>
      <c r="X219">
        <v>0.73440000000000005</v>
      </c>
      <c r="Y219">
        <v>0.1</v>
      </c>
      <c r="Z219">
        <v>0</v>
      </c>
      <c r="AA219">
        <v>0</v>
      </c>
      <c r="AB219">
        <v>0.7</v>
      </c>
      <c r="AC219">
        <v>20</v>
      </c>
      <c r="AD219">
        <v>600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f t="shared" si="12"/>
        <v>0.09</v>
      </c>
      <c r="AM219">
        <v>2.5000000000000001E-2</v>
      </c>
    </row>
    <row r="220" spans="1:39" x14ac:dyDescent="0.25">
      <c r="A220" s="6" t="s">
        <v>227</v>
      </c>
      <c r="B220" t="s">
        <v>230</v>
      </c>
      <c r="C220" t="s">
        <v>35</v>
      </c>
      <c r="D220" t="s">
        <v>35</v>
      </c>
      <c r="E220" t="s">
        <v>35</v>
      </c>
      <c r="F220" t="s">
        <v>35</v>
      </c>
      <c r="G220" t="s">
        <v>35</v>
      </c>
      <c r="H220" t="s">
        <v>35</v>
      </c>
      <c r="I220" t="s">
        <v>35</v>
      </c>
      <c r="J220" t="s">
        <v>35</v>
      </c>
      <c r="K220">
        <v>0.61450000000000005</v>
      </c>
      <c r="L220" t="s">
        <v>35</v>
      </c>
      <c r="M220">
        <v>0.16520000000000001</v>
      </c>
      <c r="N220">
        <v>0.21820000000000001</v>
      </c>
      <c r="O220">
        <v>74</v>
      </c>
      <c r="P220">
        <v>0.66500000000000004</v>
      </c>
      <c r="Q220" t="s">
        <v>35</v>
      </c>
      <c r="R220" t="s">
        <v>35</v>
      </c>
      <c r="S220" t="s">
        <v>35</v>
      </c>
      <c r="T220" t="s">
        <v>35</v>
      </c>
      <c r="U220" t="s">
        <v>35</v>
      </c>
      <c r="V220">
        <v>1</v>
      </c>
      <c r="W220">
        <v>0.2195</v>
      </c>
      <c r="X220">
        <v>0.68049999999999999</v>
      </c>
      <c r="Y220">
        <v>0.1</v>
      </c>
      <c r="Z220">
        <v>0</v>
      </c>
      <c r="AA220">
        <v>0</v>
      </c>
      <c r="AB220">
        <v>0.7</v>
      </c>
      <c r="AC220">
        <v>20</v>
      </c>
      <c r="AD220">
        <v>600</v>
      </c>
      <c r="AE220">
        <v>0</v>
      </c>
      <c r="AF220">
        <v>1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f t="shared" si="12"/>
        <v>0.09</v>
      </c>
      <c r="AM220">
        <v>2.5000000000000001E-2</v>
      </c>
    </row>
    <row r="221" spans="1:39" x14ac:dyDescent="0.25">
      <c r="A221" s="6" t="s">
        <v>227</v>
      </c>
      <c r="B221" t="s">
        <v>231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>
        <v>0.2089</v>
      </c>
      <c r="L221" t="s">
        <v>35</v>
      </c>
      <c r="M221">
        <v>3.1399999999999997E-2</v>
      </c>
      <c r="N221">
        <v>0.75929999999999997</v>
      </c>
      <c r="O221">
        <v>74</v>
      </c>
      <c r="P221">
        <v>0.66500000000000004</v>
      </c>
      <c r="Q221" t="s">
        <v>35</v>
      </c>
      <c r="R221" t="s">
        <v>35</v>
      </c>
      <c r="S221" t="s">
        <v>35</v>
      </c>
      <c r="T221" t="s">
        <v>35</v>
      </c>
      <c r="U221" t="s">
        <v>35</v>
      </c>
      <c r="V221">
        <v>1</v>
      </c>
      <c r="W221">
        <v>0.438</v>
      </c>
      <c r="X221">
        <v>0.46200000000000002</v>
      </c>
      <c r="Y221">
        <v>0.1</v>
      </c>
      <c r="Z221">
        <v>0</v>
      </c>
      <c r="AA221">
        <v>0</v>
      </c>
      <c r="AB221">
        <v>0.7</v>
      </c>
      <c r="AC221">
        <v>20</v>
      </c>
      <c r="AD221">
        <v>800</v>
      </c>
      <c r="AE221">
        <v>0</v>
      </c>
      <c r="AF221">
        <v>1</v>
      </c>
      <c r="AG221">
        <v>0</v>
      </c>
      <c r="AH221">
        <v>0</v>
      </c>
      <c r="AI221">
        <v>0</v>
      </c>
      <c r="AJ221">
        <v>0</v>
      </c>
      <c r="AK221">
        <v>1</v>
      </c>
      <c r="AL221">
        <f t="shared" si="12"/>
        <v>0.09</v>
      </c>
      <c r="AM221">
        <v>3.5000000000000003E-2</v>
      </c>
    </row>
    <row r="222" spans="1:39" x14ac:dyDescent="0.25">
      <c r="A222" s="6" t="s">
        <v>227</v>
      </c>
      <c r="B222" t="s">
        <v>232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>
        <v>0.879</v>
      </c>
      <c r="L222" t="s">
        <v>35</v>
      </c>
      <c r="M222">
        <v>2.0500000000000001E-2</v>
      </c>
      <c r="N222">
        <v>0.10050000000000001</v>
      </c>
      <c r="O222">
        <v>74</v>
      </c>
      <c r="P222">
        <v>0.66500000000000004</v>
      </c>
      <c r="Q222" t="s">
        <v>35</v>
      </c>
      <c r="R222" t="s">
        <v>35</v>
      </c>
      <c r="S222" t="s">
        <v>35</v>
      </c>
      <c r="T222" t="s">
        <v>35</v>
      </c>
      <c r="U222" t="s">
        <v>35</v>
      </c>
      <c r="V222">
        <v>1</v>
      </c>
      <c r="W222">
        <v>0.1656</v>
      </c>
      <c r="X222">
        <v>0.73440000000000005</v>
      </c>
      <c r="Y222">
        <v>0.1</v>
      </c>
      <c r="Z222">
        <v>0</v>
      </c>
      <c r="AA222">
        <v>0</v>
      </c>
      <c r="AB222">
        <v>0.7</v>
      </c>
      <c r="AC222">
        <v>20</v>
      </c>
      <c r="AD222">
        <v>800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1</v>
      </c>
      <c r="AL222">
        <f t="shared" si="12"/>
        <v>0.09</v>
      </c>
      <c r="AM222">
        <v>0.03</v>
      </c>
    </row>
    <row r="223" spans="1:39" x14ac:dyDescent="0.25">
      <c r="A223" s="6" t="s">
        <v>227</v>
      </c>
      <c r="B223" t="s">
        <v>233</v>
      </c>
      <c r="C223" t="s">
        <v>35</v>
      </c>
      <c r="D223" t="s">
        <v>35</v>
      </c>
      <c r="E223" t="s">
        <v>35</v>
      </c>
      <c r="F223" t="s">
        <v>35</v>
      </c>
      <c r="G223" t="s">
        <v>35</v>
      </c>
      <c r="H223" t="s">
        <v>35</v>
      </c>
      <c r="I223" t="s">
        <v>35</v>
      </c>
      <c r="J223" t="s">
        <v>35</v>
      </c>
      <c r="K223">
        <v>0.61450000000000005</v>
      </c>
      <c r="L223" t="s">
        <v>35</v>
      </c>
      <c r="M223">
        <v>0.16520000000000001</v>
      </c>
      <c r="N223">
        <v>0.21820000000000001</v>
      </c>
      <c r="O223">
        <v>74</v>
      </c>
      <c r="P223">
        <v>0.66500000000000004</v>
      </c>
      <c r="Q223" t="s">
        <v>35</v>
      </c>
      <c r="R223" t="s">
        <v>35</v>
      </c>
      <c r="S223" t="s">
        <v>35</v>
      </c>
      <c r="T223" t="s">
        <v>35</v>
      </c>
      <c r="U223" t="s">
        <v>35</v>
      </c>
      <c r="V223">
        <v>1</v>
      </c>
      <c r="W223">
        <v>0.2195</v>
      </c>
      <c r="X223">
        <v>0.68049999999999999</v>
      </c>
      <c r="Y223">
        <v>0.1</v>
      </c>
      <c r="Z223">
        <v>0</v>
      </c>
      <c r="AA223">
        <v>0</v>
      </c>
      <c r="AB223">
        <v>0.7</v>
      </c>
      <c r="AC223">
        <v>20</v>
      </c>
      <c r="AD223">
        <v>800</v>
      </c>
      <c r="AE223">
        <v>0</v>
      </c>
      <c r="AF223">
        <v>1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f t="shared" si="12"/>
        <v>0.09</v>
      </c>
      <c r="AM223">
        <v>0.03</v>
      </c>
    </row>
    <row r="224" spans="1:39" x14ac:dyDescent="0.25">
      <c r="A224" s="6" t="s">
        <v>227</v>
      </c>
      <c r="B224" t="s">
        <v>234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>
        <v>0.2089</v>
      </c>
      <c r="L224" t="s">
        <v>35</v>
      </c>
      <c r="M224">
        <v>3.1399999999999997E-2</v>
      </c>
      <c r="N224">
        <v>0.75929999999999997</v>
      </c>
      <c r="O224">
        <v>74</v>
      </c>
      <c r="P224">
        <v>0.66500000000000004</v>
      </c>
      <c r="Q224" t="s">
        <v>35</v>
      </c>
      <c r="R224" t="s">
        <v>35</v>
      </c>
      <c r="S224" t="s">
        <v>35</v>
      </c>
      <c r="T224" t="s">
        <v>35</v>
      </c>
      <c r="U224" t="s">
        <v>35</v>
      </c>
      <c r="V224">
        <v>1</v>
      </c>
      <c r="W224">
        <v>0.438</v>
      </c>
      <c r="X224">
        <v>0.46200000000000002</v>
      </c>
      <c r="Y224">
        <v>0.1</v>
      </c>
      <c r="Z224">
        <v>0</v>
      </c>
      <c r="AA224">
        <v>0</v>
      </c>
      <c r="AB224">
        <v>0.7</v>
      </c>
      <c r="AC224">
        <v>20</v>
      </c>
      <c r="AD224">
        <v>1000</v>
      </c>
      <c r="AE224">
        <v>0</v>
      </c>
      <c r="AF224">
        <v>1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f t="shared" si="12"/>
        <v>0.09</v>
      </c>
      <c r="AM224">
        <v>0.24579999999999999</v>
      </c>
    </row>
    <row r="225" spans="1:39" x14ac:dyDescent="0.25">
      <c r="A225" s="6" t="s">
        <v>227</v>
      </c>
      <c r="B225" t="s">
        <v>235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>
        <v>0.879</v>
      </c>
      <c r="L225" t="s">
        <v>35</v>
      </c>
      <c r="M225">
        <v>2.0500000000000001E-2</v>
      </c>
      <c r="N225">
        <v>0.10050000000000001</v>
      </c>
      <c r="O225">
        <v>74</v>
      </c>
      <c r="P225">
        <v>0.66500000000000004</v>
      </c>
      <c r="Q225" t="s">
        <v>35</v>
      </c>
      <c r="R225" t="s">
        <v>35</v>
      </c>
      <c r="S225" t="s">
        <v>35</v>
      </c>
      <c r="T225" t="s">
        <v>35</v>
      </c>
      <c r="U225" t="s">
        <v>35</v>
      </c>
      <c r="V225">
        <v>1</v>
      </c>
      <c r="W225">
        <v>0.1656</v>
      </c>
      <c r="X225">
        <v>0.73440000000000005</v>
      </c>
      <c r="Y225">
        <v>0.1</v>
      </c>
      <c r="Z225">
        <v>0</v>
      </c>
      <c r="AA225">
        <v>0</v>
      </c>
      <c r="AB225">
        <v>0.7</v>
      </c>
      <c r="AC225">
        <v>20</v>
      </c>
      <c r="AD225">
        <v>1000</v>
      </c>
      <c r="AE225">
        <v>0</v>
      </c>
      <c r="AF225">
        <v>1</v>
      </c>
      <c r="AG225">
        <v>0</v>
      </c>
      <c r="AH225">
        <v>0</v>
      </c>
      <c r="AI225">
        <v>0</v>
      </c>
      <c r="AJ225">
        <v>0</v>
      </c>
      <c r="AK225">
        <v>1</v>
      </c>
      <c r="AL225">
        <f t="shared" si="12"/>
        <v>0.09</v>
      </c>
      <c r="AM225">
        <v>0.18490000000000001</v>
      </c>
    </row>
    <row r="226" spans="1:39" x14ac:dyDescent="0.25">
      <c r="A226" s="6" t="s">
        <v>227</v>
      </c>
      <c r="B226" t="s">
        <v>236</v>
      </c>
      <c r="C226" t="s">
        <v>35</v>
      </c>
      <c r="D226" t="s">
        <v>35</v>
      </c>
      <c r="E226" t="s">
        <v>35</v>
      </c>
      <c r="F226" t="s">
        <v>35</v>
      </c>
      <c r="G226" t="s">
        <v>35</v>
      </c>
      <c r="H226" t="s">
        <v>35</v>
      </c>
      <c r="I226" t="s">
        <v>35</v>
      </c>
      <c r="J226" t="s">
        <v>35</v>
      </c>
      <c r="K226">
        <v>0.61450000000000005</v>
      </c>
      <c r="L226" t="s">
        <v>35</v>
      </c>
      <c r="M226">
        <v>0.16520000000000001</v>
      </c>
      <c r="N226">
        <v>0.21820000000000001</v>
      </c>
      <c r="O226">
        <v>74</v>
      </c>
      <c r="P226">
        <v>0.66500000000000004</v>
      </c>
      <c r="Q226" t="s">
        <v>35</v>
      </c>
      <c r="R226" t="s">
        <v>35</v>
      </c>
      <c r="S226" t="s">
        <v>35</v>
      </c>
      <c r="T226" t="s">
        <v>35</v>
      </c>
      <c r="U226" t="s">
        <v>35</v>
      </c>
      <c r="V226">
        <v>1</v>
      </c>
      <c r="W226">
        <v>0.2195</v>
      </c>
      <c r="X226">
        <v>0.68049999999999999</v>
      </c>
      <c r="Y226">
        <v>0.1</v>
      </c>
      <c r="Z226">
        <v>0</v>
      </c>
      <c r="AA226">
        <v>0</v>
      </c>
      <c r="AB226">
        <v>0.7</v>
      </c>
      <c r="AC226">
        <v>20</v>
      </c>
      <c r="AD226">
        <v>1000</v>
      </c>
      <c r="AE226">
        <v>0</v>
      </c>
      <c r="AF226">
        <v>1</v>
      </c>
      <c r="AG226">
        <v>0</v>
      </c>
      <c r="AH226">
        <v>0</v>
      </c>
      <c r="AI226">
        <v>0</v>
      </c>
      <c r="AJ226">
        <v>0</v>
      </c>
      <c r="AK226">
        <v>1</v>
      </c>
      <c r="AL226">
        <f t="shared" si="12"/>
        <v>0.09</v>
      </c>
      <c r="AM226">
        <v>0.21970000000000001</v>
      </c>
    </row>
    <row r="227" spans="1:39" x14ac:dyDescent="0.25">
      <c r="A227" s="6" t="s">
        <v>227</v>
      </c>
      <c r="B227" t="s">
        <v>237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>
        <v>0.2089</v>
      </c>
      <c r="L227" t="s">
        <v>35</v>
      </c>
      <c r="M227">
        <v>3.1399999999999997E-2</v>
      </c>
      <c r="N227">
        <v>0.75929999999999997</v>
      </c>
      <c r="O227">
        <v>74</v>
      </c>
      <c r="P227">
        <v>0.66500000000000004</v>
      </c>
      <c r="Q227" t="s">
        <v>35</v>
      </c>
      <c r="R227" t="s">
        <v>35</v>
      </c>
      <c r="S227" t="s">
        <v>35</v>
      </c>
      <c r="T227" t="s">
        <v>35</v>
      </c>
      <c r="U227" t="s">
        <v>35</v>
      </c>
      <c r="V227">
        <v>1</v>
      </c>
      <c r="W227">
        <v>0.438</v>
      </c>
      <c r="X227">
        <v>0.46200000000000002</v>
      </c>
      <c r="Y227">
        <v>0.1</v>
      </c>
      <c r="Z227">
        <v>0</v>
      </c>
      <c r="AA227">
        <v>0</v>
      </c>
      <c r="AB227">
        <v>0.7</v>
      </c>
      <c r="AC227">
        <v>20</v>
      </c>
      <c r="AD227">
        <v>1200</v>
      </c>
      <c r="AE227">
        <v>0</v>
      </c>
      <c r="AF227">
        <v>1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f t="shared" si="12"/>
        <v>0.09</v>
      </c>
      <c r="AM227">
        <v>0.85529999999999995</v>
      </c>
    </row>
    <row r="228" spans="1:39" x14ac:dyDescent="0.25">
      <c r="A228" s="6" t="s">
        <v>227</v>
      </c>
      <c r="B228" t="s">
        <v>238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>
        <v>0.879</v>
      </c>
      <c r="L228" t="s">
        <v>35</v>
      </c>
      <c r="M228">
        <v>2.0500000000000001E-2</v>
      </c>
      <c r="N228">
        <v>0.10050000000000001</v>
      </c>
      <c r="O228">
        <v>74</v>
      </c>
      <c r="P228">
        <v>0.66500000000000004</v>
      </c>
      <c r="Q228" t="s">
        <v>35</v>
      </c>
      <c r="R228" t="s">
        <v>35</v>
      </c>
      <c r="S228" t="s">
        <v>35</v>
      </c>
      <c r="T228" t="s">
        <v>35</v>
      </c>
      <c r="U228" t="s">
        <v>35</v>
      </c>
      <c r="V228">
        <v>1</v>
      </c>
      <c r="W228">
        <v>0.1656</v>
      </c>
      <c r="X228">
        <v>0.73440000000000005</v>
      </c>
      <c r="Y228">
        <v>0.1</v>
      </c>
      <c r="Z228">
        <v>0</v>
      </c>
      <c r="AA228">
        <v>0</v>
      </c>
      <c r="AB228">
        <v>0.7</v>
      </c>
      <c r="AC228">
        <v>20</v>
      </c>
      <c r="AD228">
        <v>1200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f t="shared" si="12"/>
        <v>0.09</v>
      </c>
      <c r="AM228">
        <v>0.83830000000000005</v>
      </c>
    </row>
    <row r="229" spans="1:39" x14ac:dyDescent="0.25">
      <c r="A229" s="6" t="s">
        <v>227</v>
      </c>
      <c r="B229" t="s">
        <v>239</v>
      </c>
      <c r="C229" t="s">
        <v>35</v>
      </c>
      <c r="D229" t="s">
        <v>35</v>
      </c>
      <c r="E229" t="s">
        <v>35</v>
      </c>
      <c r="F229" t="s">
        <v>35</v>
      </c>
      <c r="G229" t="s">
        <v>35</v>
      </c>
      <c r="H229" t="s">
        <v>35</v>
      </c>
      <c r="I229" t="s">
        <v>35</v>
      </c>
      <c r="J229" t="s">
        <v>35</v>
      </c>
      <c r="K229">
        <v>0.61450000000000005</v>
      </c>
      <c r="L229" t="s">
        <v>35</v>
      </c>
      <c r="M229">
        <v>0.16520000000000001</v>
      </c>
      <c r="N229">
        <v>0.21820000000000001</v>
      </c>
      <c r="O229">
        <v>74</v>
      </c>
      <c r="P229">
        <v>0.66500000000000004</v>
      </c>
      <c r="Q229" t="s">
        <v>35</v>
      </c>
      <c r="R229" t="s">
        <v>35</v>
      </c>
      <c r="S229" t="s">
        <v>35</v>
      </c>
      <c r="T229" t="s">
        <v>35</v>
      </c>
      <c r="U229" t="s">
        <v>35</v>
      </c>
      <c r="V229">
        <v>1</v>
      </c>
      <c r="W229">
        <v>0.2195</v>
      </c>
      <c r="X229">
        <v>0.68049999999999999</v>
      </c>
      <c r="Y229">
        <v>0.1</v>
      </c>
      <c r="Z229">
        <v>0</v>
      </c>
      <c r="AA229">
        <v>0</v>
      </c>
      <c r="AB229">
        <v>0.7</v>
      </c>
      <c r="AC229">
        <v>20</v>
      </c>
      <c r="AD229">
        <v>1200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f t="shared" si="12"/>
        <v>0.09</v>
      </c>
      <c r="AM229">
        <v>0.8145</v>
      </c>
    </row>
    <row r="230" spans="1:39" x14ac:dyDescent="0.25">
      <c r="A230" s="6" t="s">
        <v>227</v>
      </c>
      <c r="B230" t="s">
        <v>240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>
        <v>0.2089</v>
      </c>
      <c r="L230" t="s">
        <v>35</v>
      </c>
      <c r="M230">
        <v>3.1399999999999997E-2</v>
      </c>
      <c r="N230">
        <v>0.75929999999999997</v>
      </c>
      <c r="O230">
        <v>74</v>
      </c>
      <c r="P230">
        <v>0.66500000000000004</v>
      </c>
      <c r="Q230" t="s">
        <v>35</v>
      </c>
      <c r="R230" t="s">
        <v>35</v>
      </c>
      <c r="S230" t="s">
        <v>35</v>
      </c>
      <c r="T230" t="s">
        <v>35</v>
      </c>
      <c r="U230" t="s">
        <v>35</v>
      </c>
      <c r="V230">
        <v>1</v>
      </c>
      <c r="W230">
        <v>0.438</v>
      </c>
      <c r="X230">
        <v>0.46200000000000002</v>
      </c>
      <c r="Y230">
        <v>0.1</v>
      </c>
      <c r="Z230">
        <v>0</v>
      </c>
      <c r="AA230">
        <v>0</v>
      </c>
      <c r="AB230">
        <v>0.7</v>
      </c>
      <c r="AC230">
        <v>20</v>
      </c>
      <c r="AD230">
        <v>1300</v>
      </c>
      <c r="AE230">
        <v>0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1</v>
      </c>
      <c r="AL230">
        <f t="shared" si="12"/>
        <v>0.09</v>
      </c>
      <c r="AM230">
        <v>0.93540000000000001</v>
      </c>
    </row>
    <row r="231" spans="1:39" x14ac:dyDescent="0.25">
      <c r="A231" s="6" t="s">
        <v>227</v>
      </c>
      <c r="B231" t="s">
        <v>241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>
        <v>0.879</v>
      </c>
      <c r="L231" t="s">
        <v>35</v>
      </c>
      <c r="M231">
        <v>2.0500000000000001E-2</v>
      </c>
      <c r="N231">
        <v>0.10050000000000001</v>
      </c>
      <c r="O231">
        <v>74</v>
      </c>
      <c r="P231">
        <v>0.66500000000000004</v>
      </c>
      <c r="Q231" t="s">
        <v>35</v>
      </c>
      <c r="R231" t="s">
        <v>35</v>
      </c>
      <c r="S231" t="s">
        <v>35</v>
      </c>
      <c r="T231" t="s">
        <v>35</v>
      </c>
      <c r="U231" t="s">
        <v>35</v>
      </c>
      <c r="V231">
        <v>1</v>
      </c>
      <c r="W231">
        <v>0.1656</v>
      </c>
      <c r="X231">
        <v>0.73440000000000005</v>
      </c>
      <c r="Y231">
        <v>0.1</v>
      </c>
      <c r="Z231">
        <v>0</v>
      </c>
      <c r="AA231">
        <v>0</v>
      </c>
      <c r="AB231">
        <v>0.7</v>
      </c>
      <c r="AC231">
        <v>20</v>
      </c>
      <c r="AD231">
        <v>1300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f t="shared" si="12"/>
        <v>0.09</v>
      </c>
      <c r="AM231">
        <v>0.92210000000000003</v>
      </c>
    </row>
    <row r="232" spans="1:39" x14ac:dyDescent="0.25">
      <c r="A232" s="6" t="s">
        <v>227</v>
      </c>
      <c r="B232" t="s">
        <v>242</v>
      </c>
      <c r="C232" t="s">
        <v>35</v>
      </c>
      <c r="D232" t="s">
        <v>35</v>
      </c>
      <c r="E232" t="s">
        <v>35</v>
      </c>
      <c r="F232" t="s">
        <v>35</v>
      </c>
      <c r="G232" t="s">
        <v>35</v>
      </c>
      <c r="H232" t="s">
        <v>35</v>
      </c>
      <c r="I232" t="s">
        <v>35</v>
      </c>
      <c r="J232" t="s">
        <v>35</v>
      </c>
      <c r="K232">
        <v>0.61450000000000005</v>
      </c>
      <c r="L232" t="s">
        <v>35</v>
      </c>
      <c r="M232">
        <v>0.16520000000000001</v>
      </c>
      <c r="N232">
        <v>0.21820000000000001</v>
      </c>
      <c r="O232">
        <v>74</v>
      </c>
      <c r="P232">
        <v>0.66500000000000004</v>
      </c>
      <c r="Q232" t="s">
        <v>35</v>
      </c>
      <c r="R232" t="s">
        <v>35</v>
      </c>
      <c r="S232" t="s">
        <v>35</v>
      </c>
      <c r="T232" t="s">
        <v>35</v>
      </c>
      <c r="U232" t="s">
        <v>35</v>
      </c>
      <c r="V232">
        <v>1</v>
      </c>
      <c r="W232">
        <v>0.2195</v>
      </c>
      <c r="X232">
        <v>0.68049999999999999</v>
      </c>
      <c r="Y232">
        <v>0.1</v>
      </c>
      <c r="Z232">
        <v>0</v>
      </c>
      <c r="AA232">
        <v>0</v>
      </c>
      <c r="AB232">
        <v>0.7</v>
      </c>
      <c r="AC232">
        <v>20</v>
      </c>
      <c r="AD232">
        <v>1300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f t="shared" si="12"/>
        <v>0.09</v>
      </c>
      <c r="AM232">
        <v>0.8821</v>
      </c>
    </row>
    <row r="233" spans="1:39" x14ac:dyDescent="0.25">
      <c r="A233" s="6" t="s">
        <v>227</v>
      </c>
      <c r="B233" t="s">
        <v>243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>
        <v>0.2089</v>
      </c>
      <c r="L233" t="s">
        <v>35</v>
      </c>
      <c r="M233">
        <v>3.1399999999999997E-2</v>
      </c>
      <c r="N233">
        <v>0.75929999999999997</v>
      </c>
      <c r="O233">
        <v>74</v>
      </c>
      <c r="P233">
        <v>0.66500000000000004</v>
      </c>
      <c r="Q233" t="s">
        <v>35</v>
      </c>
      <c r="R233" t="s">
        <v>35</v>
      </c>
      <c r="S233" t="s">
        <v>35</v>
      </c>
      <c r="T233" t="s">
        <v>35</v>
      </c>
      <c r="U233" t="s">
        <v>35</v>
      </c>
      <c r="V233">
        <v>1</v>
      </c>
      <c r="W233">
        <v>0.438</v>
      </c>
      <c r="X233">
        <v>0.46200000000000002</v>
      </c>
      <c r="Y233">
        <v>0.1</v>
      </c>
      <c r="Z233">
        <v>0</v>
      </c>
      <c r="AA233">
        <v>0</v>
      </c>
      <c r="AB233">
        <v>0.7</v>
      </c>
      <c r="AC233">
        <v>20</v>
      </c>
      <c r="AD233">
        <v>600</v>
      </c>
      <c r="AE233">
        <v>10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f t="shared" si="12"/>
        <v>0.09</v>
      </c>
      <c r="AM233">
        <v>2.1499999999999998E-2</v>
      </c>
    </row>
    <row r="234" spans="1:39" x14ac:dyDescent="0.25">
      <c r="A234" s="6" t="s">
        <v>227</v>
      </c>
      <c r="B234" t="s">
        <v>244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>
        <v>0.2089</v>
      </c>
      <c r="L234" t="s">
        <v>35</v>
      </c>
      <c r="M234">
        <v>3.1399999999999997E-2</v>
      </c>
      <c r="N234">
        <v>0.75929999999999997</v>
      </c>
      <c r="O234">
        <v>74</v>
      </c>
      <c r="P234">
        <v>0.66500000000000004</v>
      </c>
      <c r="Q234" t="s">
        <v>35</v>
      </c>
      <c r="R234" t="s">
        <v>35</v>
      </c>
      <c r="S234" t="s">
        <v>35</v>
      </c>
      <c r="T234" t="s">
        <v>35</v>
      </c>
      <c r="U234" t="s">
        <v>35</v>
      </c>
      <c r="V234">
        <v>1</v>
      </c>
      <c r="W234">
        <v>0.438</v>
      </c>
      <c r="X234">
        <v>0.46200000000000002</v>
      </c>
      <c r="Y234">
        <v>0.1</v>
      </c>
      <c r="Z234">
        <v>0</v>
      </c>
      <c r="AA234">
        <v>0</v>
      </c>
      <c r="AB234">
        <v>0.7</v>
      </c>
      <c r="AC234">
        <v>20</v>
      </c>
      <c r="AD234">
        <v>600</v>
      </c>
      <c r="AE234">
        <v>20</v>
      </c>
      <c r="AF234">
        <v>1</v>
      </c>
      <c r="AG234">
        <v>0</v>
      </c>
      <c r="AH234">
        <v>0</v>
      </c>
      <c r="AI234">
        <v>0</v>
      </c>
      <c r="AJ234">
        <v>0</v>
      </c>
      <c r="AK234">
        <v>1</v>
      </c>
      <c r="AL234">
        <f t="shared" si="12"/>
        <v>0.09</v>
      </c>
      <c r="AM234">
        <v>2.1000000000000001E-2</v>
      </c>
    </row>
    <row r="235" spans="1:39" x14ac:dyDescent="0.25">
      <c r="A235" s="6" t="s">
        <v>227</v>
      </c>
      <c r="B235" t="s">
        <v>245</v>
      </c>
      <c r="C235" t="s">
        <v>35</v>
      </c>
      <c r="D235" t="s">
        <v>35</v>
      </c>
      <c r="E235" t="s">
        <v>35</v>
      </c>
      <c r="F235" t="s">
        <v>35</v>
      </c>
      <c r="G235" t="s">
        <v>35</v>
      </c>
      <c r="H235" t="s">
        <v>35</v>
      </c>
      <c r="I235" t="s">
        <v>35</v>
      </c>
      <c r="J235" t="s">
        <v>35</v>
      </c>
      <c r="K235">
        <v>0.2089</v>
      </c>
      <c r="L235" t="s">
        <v>35</v>
      </c>
      <c r="M235">
        <v>3.1399999999999997E-2</v>
      </c>
      <c r="N235">
        <v>0.75929999999999997</v>
      </c>
      <c r="O235">
        <v>74</v>
      </c>
      <c r="P235">
        <v>0.66500000000000004</v>
      </c>
      <c r="Q235" t="s">
        <v>35</v>
      </c>
      <c r="R235" t="s">
        <v>35</v>
      </c>
      <c r="S235" t="s">
        <v>35</v>
      </c>
      <c r="T235" t="s">
        <v>35</v>
      </c>
      <c r="U235" t="s">
        <v>35</v>
      </c>
      <c r="V235">
        <v>1</v>
      </c>
      <c r="W235">
        <v>0.438</v>
      </c>
      <c r="X235">
        <v>0.46200000000000002</v>
      </c>
      <c r="Y235">
        <v>0.1</v>
      </c>
      <c r="Z235">
        <v>0</v>
      </c>
      <c r="AA235">
        <v>0</v>
      </c>
      <c r="AB235">
        <v>0.7</v>
      </c>
      <c r="AC235">
        <v>20</v>
      </c>
      <c r="AD235">
        <v>600</v>
      </c>
      <c r="AE235">
        <v>40</v>
      </c>
      <c r="AF235">
        <v>1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f t="shared" si="12"/>
        <v>0.09</v>
      </c>
      <c r="AM235">
        <v>1.8499999999999999E-2</v>
      </c>
    </row>
    <row r="236" spans="1:39" x14ac:dyDescent="0.25">
      <c r="A236" s="6" t="s">
        <v>227</v>
      </c>
      <c r="B236" t="s">
        <v>246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>
        <v>0.2089</v>
      </c>
      <c r="L236" t="s">
        <v>35</v>
      </c>
      <c r="M236">
        <v>3.1399999999999997E-2</v>
      </c>
      <c r="N236">
        <v>0.75929999999999997</v>
      </c>
      <c r="O236">
        <v>74</v>
      </c>
      <c r="P236">
        <v>0.66500000000000004</v>
      </c>
      <c r="Q236" t="s">
        <v>35</v>
      </c>
      <c r="R236" t="s">
        <v>35</v>
      </c>
      <c r="S236" t="s">
        <v>35</v>
      </c>
      <c r="T236" t="s">
        <v>35</v>
      </c>
      <c r="U236" t="s">
        <v>35</v>
      </c>
      <c r="V236">
        <v>1</v>
      </c>
      <c r="W236">
        <v>0.438</v>
      </c>
      <c r="X236">
        <v>0.46200000000000002</v>
      </c>
      <c r="Y236">
        <v>0.1</v>
      </c>
      <c r="Z236">
        <v>0</v>
      </c>
      <c r="AA236">
        <v>0</v>
      </c>
      <c r="AB236">
        <v>0.7</v>
      </c>
      <c r="AC236">
        <v>20</v>
      </c>
      <c r="AD236">
        <v>600</v>
      </c>
      <c r="AE236">
        <v>60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f t="shared" si="12"/>
        <v>0.09</v>
      </c>
      <c r="AM236">
        <v>2.1499999999999998E-2</v>
      </c>
    </row>
    <row r="237" spans="1:39" x14ac:dyDescent="0.25">
      <c r="A237" s="6" t="s">
        <v>227</v>
      </c>
      <c r="B237" t="s">
        <v>247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>
        <v>0.879</v>
      </c>
      <c r="L237" t="s">
        <v>35</v>
      </c>
      <c r="M237">
        <v>2.0500000000000001E-2</v>
      </c>
      <c r="N237">
        <v>0.10050000000000001</v>
      </c>
      <c r="O237">
        <v>74</v>
      </c>
      <c r="P237">
        <v>0.66500000000000004</v>
      </c>
      <c r="Q237" t="s">
        <v>35</v>
      </c>
      <c r="R237" t="s">
        <v>35</v>
      </c>
      <c r="S237" t="s">
        <v>35</v>
      </c>
      <c r="T237" t="s">
        <v>35</v>
      </c>
      <c r="U237" t="s">
        <v>35</v>
      </c>
      <c r="V237">
        <v>1</v>
      </c>
      <c r="W237">
        <v>0.1656</v>
      </c>
      <c r="X237">
        <v>0.73440000000000005</v>
      </c>
      <c r="Y237">
        <v>0.1</v>
      </c>
      <c r="Z237">
        <v>0</v>
      </c>
      <c r="AA237">
        <v>0</v>
      </c>
      <c r="AB237">
        <v>0.7</v>
      </c>
      <c r="AC237">
        <v>20</v>
      </c>
      <c r="AD237">
        <v>600</v>
      </c>
      <c r="AE237">
        <v>10</v>
      </c>
      <c r="AF237">
        <v>1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f t="shared" si="12"/>
        <v>0.09</v>
      </c>
      <c r="AM237">
        <v>1.55E-2</v>
      </c>
    </row>
    <row r="238" spans="1:39" x14ac:dyDescent="0.25">
      <c r="A238" s="6" t="s">
        <v>227</v>
      </c>
      <c r="B238" t="s">
        <v>248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H238" t="s">
        <v>35</v>
      </c>
      <c r="I238" t="s">
        <v>35</v>
      </c>
      <c r="J238" t="s">
        <v>35</v>
      </c>
      <c r="K238">
        <v>0.879</v>
      </c>
      <c r="L238" t="s">
        <v>35</v>
      </c>
      <c r="M238">
        <v>2.0500000000000001E-2</v>
      </c>
      <c r="N238">
        <v>0.10050000000000001</v>
      </c>
      <c r="O238">
        <v>74</v>
      </c>
      <c r="P238">
        <v>0.66500000000000004</v>
      </c>
      <c r="Q238" t="s">
        <v>35</v>
      </c>
      <c r="R238" t="s">
        <v>35</v>
      </c>
      <c r="S238" t="s">
        <v>35</v>
      </c>
      <c r="T238" t="s">
        <v>35</v>
      </c>
      <c r="U238" t="s">
        <v>35</v>
      </c>
      <c r="V238">
        <v>1</v>
      </c>
      <c r="W238">
        <v>0.1656</v>
      </c>
      <c r="X238">
        <v>0.73440000000000005</v>
      </c>
      <c r="Y238">
        <v>0.1</v>
      </c>
      <c r="Z238">
        <v>0</v>
      </c>
      <c r="AA238">
        <v>0</v>
      </c>
      <c r="AB238">
        <v>0.7</v>
      </c>
      <c r="AC238">
        <v>20</v>
      </c>
      <c r="AD238">
        <v>600</v>
      </c>
      <c r="AE238">
        <v>20</v>
      </c>
      <c r="AF238">
        <v>1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f t="shared" si="12"/>
        <v>0.09</v>
      </c>
      <c r="AM238">
        <v>1.4E-2</v>
      </c>
    </row>
    <row r="239" spans="1:39" x14ac:dyDescent="0.25">
      <c r="A239" s="6" t="s">
        <v>227</v>
      </c>
      <c r="B239" t="s">
        <v>249</v>
      </c>
      <c r="C239" t="s">
        <v>35</v>
      </c>
      <c r="D239" t="s">
        <v>35</v>
      </c>
      <c r="E239" t="s">
        <v>35</v>
      </c>
      <c r="F239" t="s">
        <v>35</v>
      </c>
      <c r="G239" t="s">
        <v>35</v>
      </c>
      <c r="H239" t="s">
        <v>35</v>
      </c>
      <c r="I239" t="s">
        <v>35</v>
      </c>
      <c r="J239" t="s">
        <v>35</v>
      </c>
      <c r="K239">
        <v>0.879</v>
      </c>
      <c r="L239" t="s">
        <v>35</v>
      </c>
      <c r="M239">
        <v>2.0500000000000001E-2</v>
      </c>
      <c r="N239">
        <v>0.10050000000000001</v>
      </c>
      <c r="O239">
        <v>74</v>
      </c>
      <c r="P239">
        <v>0.66500000000000004</v>
      </c>
      <c r="Q239" t="s">
        <v>35</v>
      </c>
      <c r="R239" t="s">
        <v>35</v>
      </c>
      <c r="S239" t="s">
        <v>35</v>
      </c>
      <c r="T239" t="s">
        <v>35</v>
      </c>
      <c r="U239" t="s">
        <v>35</v>
      </c>
      <c r="V239">
        <v>1</v>
      </c>
      <c r="W239">
        <v>0.1656</v>
      </c>
      <c r="X239">
        <v>0.73440000000000005</v>
      </c>
      <c r="Y239">
        <v>0.1</v>
      </c>
      <c r="Z239">
        <v>0</v>
      </c>
      <c r="AA239">
        <v>0</v>
      </c>
      <c r="AB239">
        <v>0.7</v>
      </c>
      <c r="AC239">
        <v>20</v>
      </c>
      <c r="AD239">
        <v>600</v>
      </c>
      <c r="AE239">
        <v>40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1</v>
      </c>
      <c r="AL239">
        <f t="shared" si="12"/>
        <v>0.09</v>
      </c>
      <c r="AM239">
        <v>1.4999999999999999E-2</v>
      </c>
    </row>
    <row r="240" spans="1:39" x14ac:dyDescent="0.25">
      <c r="A240" s="6" t="s">
        <v>227</v>
      </c>
      <c r="B240" t="s">
        <v>250</v>
      </c>
      <c r="C240" t="s">
        <v>35</v>
      </c>
      <c r="D240" t="s">
        <v>35</v>
      </c>
      <c r="E240" t="s">
        <v>35</v>
      </c>
      <c r="F240" t="s">
        <v>35</v>
      </c>
      <c r="G240" t="s">
        <v>35</v>
      </c>
      <c r="H240" t="s">
        <v>35</v>
      </c>
      <c r="I240" t="s">
        <v>35</v>
      </c>
      <c r="J240" t="s">
        <v>35</v>
      </c>
      <c r="K240">
        <v>0.879</v>
      </c>
      <c r="L240" t="s">
        <v>35</v>
      </c>
      <c r="M240">
        <v>2.0500000000000001E-2</v>
      </c>
      <c r="N240">
        <v>0.10050000000000001</v>
      </c>
      <c r="O240">
        <v>74</v>
      </c>
      <c r="P240">
        <v>0.66500000000000004</v>
      </c>
      <c r="Q240" t="s">
        <v>35</v>
      </c>
      <c r="R240" t="s">
        <v>35</v>
      </c>
      <c r="S240" t="s">
        <v>35</v>
      </c>
      <c r="T240" t="s">
        <v>35</v>
      </c>
      <c r="U240" t="s">
        <v>35</v>
      </c>
      <c r="V240">
        <v>1</v>
      </c>
      <c r="W240">
        <v>0.1656</v>
      </c>
      <c r="X240">
        <v>0.73440000000000005</v>
      </c>
      <c r="Y240">
        <v>0.1</v>
      </c>
      <c r="Z240">
        <v>0</v>
      </c>
      <c r="AA240">
        <v>0</v>
      </c>
      <c r="AB240">
        <v>0.7</v>
      </c>
      <c r="AC240">
        <v>20</v>
      </c>
      <c r="AD240">
        <v>600</v>
      </c>
      <c r="AE240">
        <v>60</v>
      </c>
      <c r="AF240">
        <v>1</v>
      </c>
      <c r="AG240">
        <v>0</v>
      </c>
      <c r="AH240">
        <v>0</v>
      </c>
      <c r="AI240">
        <v>0</v>
      </c>
      <c r="AJ240">
        <v>0</v>
      </c>
      <c r="AK240">
        <v>1</v>
      </c>
      <c r="AL240">
        <f t="shared" si="12"/>
        <v>0.09</v>
      </c>
      <c r="AM240">
        <v>1.35E-2</v>
      </c>
    </row>
    <row r="241" spans="1:39" x14ac:dyDescent="0.25">
      <c r="A241" s="6" t="s">
        <v>227</v>
      </c>
      <c r="B241" t="s">
        <v>251</v>
      </c>
      <c r="C241" t="s">
        <v>35</v>
      </c>
      <c r="D241" t="s">
        <v>35</v>
      </c>
      <c r="E241" t="s">
        <v>35</v>
      </c>
      <c r="F241" t="s">
        <v>35</v>
      </c>
      <c r="G241" t="s">
        <v>35</v>
      </c>
      <c r="H241" t="s">
        <v>35</v>
      </c>
      <c r="I241" t="s">
        <v>35</v>
      </c>
      <c r="J241" t="s">
        <v>35</v>
      </c>
      <c r="K241">
        <v>0.61450000000000005</v>
      </c>
      <c r="L241" t="s">
        <v>35</v>
      </c>
      <c r="M241">
        <v>0.16520000000000001</v>
      </c>
      <c r="N241">
        <v>0.21820000000000001</v>
      </c>
      <c r="O241">
        <v>74</v>
      </c>
      <c r="P241">
        <v>0.66500000000000004</v>
      </c>
      <c r="Q241" t="s">
        <v>35</v>
      </c>
      <c r="R241" t="s">
        <v>35</v>
      </c>
      <c r="S241" t="s">
        <v>35</v>
      </c>
      <c r="T241" t="s">
        <v>35</v>
      </c>
      <c r="U241" t="s">
        <v>35</v>
      </c>
      <c r="V241">
        <v>1</v>
      </c>
      <c r="W241">
        <v>0.2195</v>
      </c>
      <c r="X241">
        <v>0.68049999999999999</v>
      </c>
      <c r="Y241">
        <v>0.1</v>
      </c>
      <c r="Z241">
        <v>0</v>
      </c>
      <c r="AA241">
        <v>0</v>
      </c>
      <c r="AB241">
        <v>0.7</v>
      </c>
      <c r="AC241">
        <v>20</v>
      </c>
      <c r="AD241">
        <v>600</v>
      </c>
      <c r="AE241">
        <v>10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f t="shared" si="12"/>
        <v>0.09</v>
      </c>
      <c r="AM241">
        <v>8.5000000000000006E-3</v>
      </c>
    </row>
    <row r="242" spans="1:39" x14ac:dyDescent="0.25">
      <c r="A242" s="6" t="s">
        <v>227</v>
      </c>
      <c r="B242" t="s">
        <v>252</v>
      </c>
      <c r="C242" t="s">
        <v>35</v>
      </c>
      <c r="D242" t="s">
        <v>35</v>
      </c>
      <c r="E242" t="s">
        <v>35</v>
      </c>
      <c r="F242" t="s">
        <v>35</v>
      </c>
      <c r="G242" t="s">
        <v>35</v>
      </c>
      <c r="H242" t="s">
        <v>35</v>
      </c>
      <c r="I242" t="s">
        <v>35</v>
      </c>
      <c r="J242" t="s">
        <v>35</v>
      </c>
      <c r="K242">
        <v>0.61450000000000005</v>
      </c>
      <c r="L242" t="s">
        <v>35</v>
      </c>
      <c r="M242">
        <v>0.16520000000000001</v>
      </c>
      <c r="N242">
        <v>0.21820000000000001</v>
      </c>
      <c r="O242">
        <v>74</v>
      </c>
      <c r="P242">
        <v>0.66500000000000004</v>
      </c>
      <c r="Q242" t="s">
        <v>35</v>
      </c>
      <c r="R242" t="s">
        <v>35</v>
      </c>
      <c r="S242" t="s">
        <v>35</v>
      </c>
      <c r="T242" t="s">
        <v>35</v>
      </c>
      <c r="U242" t="s">
        <v>35</v>
      </c>
      <c r="V242">
        <v>1</v>
      </c>
      <c r="W242">
        <v>0.2195</v>
      </c>
      <c r="X242">
        <v>0.68049999999999999</v>
      </c>
      <c r="Y242">
        <v>0.1</v>
      </c>
      <c r="Z242">
        <v>0</v>
      </c>
      <c r="AA242">
        <v>0</v>
      </c>
      <c r="AB242">
        <v>0.7</v>
      </c>
      <c r="AC242">
        <v>20</v>
      </c>
      <c r="AD242">
        <v>600</v>
      </c>
      <c r="AE242">
        <v>20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f t="shared" si="12"/>
        <v>0.09</v>
      </c>
      <c r="AM242">
        <v>8.0000000000000002E-3</v>
      </c>
    </row>
    <row r="243" spans="1:39" x14ac:dyDescent="0.25">
      <c r="A243" s="6" t="s">
        <v>227</v>
      </c>
      <c r="B243" t="s">
        <v>253</v>
      </c>
      <c r="C243" t="s">
        <v>35</v>
      </c>
      <c r="D243" t="s">
        <v>35</v>
      </c>
      <c r="E243" t="s">
        <v>35</v>
      </c>
      <c r="F243" t="s">
        <v>35</v>
      </c>
      <c r="G243" t="s">
        <v>35</v>
      </c>
      <c r="H243" t="s">
        <v>35</v>
      </c>
      <c r="I243" t="s">
        <v>35</v>
      </c>
      <c r="J243" t="s">
        <v>35</v>
      </c>
      <c r="K243">
        <v>0.61450000000000005</v>
      </c>
      <c r="L243" t="s">
        <v>35</v>
      </c>
      <c r="M243">
        <v>0.16520000000000001</v>
      </c>
      <c r="N243">
        <v>0.21820000000000001</v>
      </c>
      <c r="O243">
        <v>74</v>
      </c>
      <c r="P243">
        <v>0.66500000000000004</v>
      </c>
      <c r="Q243" t="s">
        <v>35</v>
      </c>
      <c r="R243" t="s">
        <v>35</v>
      </c>
      <c r="S243" t="s">
        <v>35</v>
      </c>
      <c r="T243" t="s">
        <v>35</v>
      </c>
      <c r="U243" t="s">
        <v>35</v>
      </c>
      <c r="V243">
        <v>1</v>
      </c>
      <c r="W243">
        <v>0.2195</v>
      </c>
      <c r="X243">
        <v>0.68049999999999999</v>
      </c>
      <c r="Y243">
        <v>0.1</v>
      </c>
      <c r="Z243">
        <v>0</v>
      </c>
      <c r="AA243">
        <v>0</v>
      </c>
      <c r="AB243">
        <v>0.7</v>
      </c>
      <c r="AC243">
        <v>20</v>
      </c>
      <c r="AD243">
        <v>600</v>
      </c>
      <c r="AE243">
        <v>40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f t="shared" si="12"/>
        <v>0.09</v>
      </c>
      <c r="AM243">
        <v>8.0000000000000002E-3</v>
      </c>
    </row>
    <row r="244" spans="1:39" x14ac:dyDescent="0.25">
      <c r="A244" s="6" t="s">
        <v>227</v>
      </c>
      <c r="B244" t="s">
        <v>254</v>
      </c>
      <c r="C244" t="s">
        <v>35</v>
      </c>
      <c r="D244" t="s">
        <v>35</v>
      </c>
      <c r="E244" t="s">
        <v>35</v>
      </c>
      <c r="F244" t="s">
        <v>35</v>
      </c>
      <c r="G244" t="s">
        <v>35</v>
      </c>
      <c r="H244" t="s">
        <v>35</v>
      </c>
      <c r="I244" t="s">
        <v>35</v>
      </c>
      <c r="J244" t="s">
        <v>35</v>
      </c>
      <c r="K244">
        <v>0.61450000000000005</v>
      </c>
      <c r="L244" t="s">
        <v>35</v>
      </c>
      <c r="M244">
        <v>0.16520000000000001</v>
      </c>
      <c r="N244">
        <v>0.21820000000000001</v>
      </c>
      <c r="O244">
        <v>74</v>
      </c>
      <c r="P244">
        <v>0.66500000000000004</v>
      </c>
      <c r="Q244" t="s">
        <v>35</v>
      </c>
      <c r="R244" t="s">
        <v>35</v>
      </c>
      <c r="S244" t="s">
        <v>35</v>
      </c>
      <c r="T244" t="s">
        <v>35</v>
      </c>
      <c r="U244" t="s">
        <v>35</v>
      </c>
      <c r="V244">
        <v>1</v>
      </c>
      <c r="W244">
        <v>0.2195</v>
      </c>
      <c r="X244">
        <v>0.68049999999999999</v>
      </c>
      <c r="Y244">
        <v>0.1</v>
      </c>
      <c r="Z244">
        <v>0</v>
      </c>
      <c r="AA244">
        <v>0</v>
      </c>
      <c r="AB244">
        <v>0.7</v>
      </c>
      <c r="AC244">
        <v>20</v>
      </c>
      <c r="AD244">
        <v>600</v>
      </c>
      <c r="AE244">
        <v>60</v>
      </c>
      <c r="AF244">
        <v>1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f t="shared" si="12"/>
        <v>0.09</v>
      </c>
      <c r="AM244">
        <v>8.9999999999999993E-3</v>
      </c>
    </row>
    <row r="245" spans="1:39" x14ac:dyDescent="0.25">
      <c r="A245" s="6" t="s">
        <v>227</v>
      </c>
      <c r="B245" t="s">
        <v>255</v>
      </c>
      <c r="C245" t="s">
        <v>35</v>
      </c>
      <c r="D245" t="s">
        <v>35</v>
      </c>
      <c r="E245" t="s">
        <v>35</v>
      </c>
      <c r="F245" t="s">
        <v>35</v>
      </c>
      <c r="G245" t="s">
        <v>35</v>
      </c>
      <c r="H245" t="s">
        <v>35</v>
      </c>
      <c r="I245" t="s">
        <v>35</v>
      </c>
      <c r="J245" t="s">
        <v>35</v>
      </c>
      <c r="K245">
        <v>0.2089</v>
      </c>
      <c r="L245" t="s">
        <v>35</v>
      </c>
      <c r="M245">
        <v>3.1399999999999997E-2</v>
      </c>
      <c r="N245">
        <v>0.75929999999999997</v>
      </c>
      <c r="O245">
        <v>74</v>
      </c>
      <c r="P245">
        <v>0.66500000000000004</v>
      </c>
      <c r="Q245" t="s">
        <v>35</v>
      </c>
      <c r="R245" t="s">
        <v>35</v>
      </c>
      <c r="S245" t="s">
        <v>35</v>
      </c>
      <c r="T245" t="s">
        <v>35</v>
      </c>
      <c r="U245" t="s">
        <v>35</v>
      </c>
      <c r="V245">
        <v>1</v>
      </c>
      <c r="W245">
        <v>0.438</v>
      </c>
      <c r="X245">
        <v>0.46200000000000002</v>
      </c>
      <c r="Y245">
        <v>0.1</v>
      </c>
      <c r="Z245">
        <v>0</v>
      </c>
      <c r="AA245">
        <v>0</v>
      </c>
      <c r="AB245">
        <v>0.7</v>
      </c>
      <c r="AC245">
        <v>20</v>
      </c>
      <c r="AD245">
        <v>800</v>
      </c>
      <c r="AE245">
        <v>10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1</v>
      </c>
      <c r="AL245">
        <f t="shared" si="12"/>
        <v>0.09</v>
      </c>
      <c r="AM245">
        <v>3.2500000000000001E-2</v>
      </c>
    </row>
    <row r="246" spans="1:39" x14ac:dyDescent="0.25">
      <c r="A246" s="6" t="s">
        <v>227</v>
      </c>
      <c r="B246" t="s">
        <v>256</v>
      </c>
      <c r="C246" t="s">
        <v>35</v>
      </c>
      <c r="D246" t="s">
        <v>35</v>
      </c>
      <c r="E246" t="s">
        <v>35</v>
      </c>
      <c r="F246" t="s">
        <v>35</v>
      </c>
      <c r="G246" t="s">
        <v>35</v>
      </c>
      <c r="H246" t="s">
        <v>35</v>
      </c>
      <c r="I246" t="s">
        <v>35</v>
      </c>
      <c r="J246" t="s">
        <v>35</v>
      </c>
      <c r="K246">
        <v>0.2089</v>
      </c>
      <c r="L246" t="s">
        <v>35</v>
      </c>
      <c r="M246">
        <v>3.1399999999999997E-2</v>
      </c>
      <c r="N246">
        <v>0.75929999999999997</v>
      </c>
      <c r="O246">
        <v>74</v>
      </c>
      <c r="P246">
        <v>0.66500000000000004</v>
      </c>
      <c r="Q246" t="s">
        <v>35</v>
      </c>
      <c r="R246" t="s">
        <v>35</v>
      </c>
      <c r="S246" t="s">
        <v>35</v>
      </c>
      <c r="T246" t="s">
        <v>35</v>
      </c>
      <c r="U246" t="s">
        <v>35</v>
      </c>
      <c r="V246">
        <v>1</v>
      </c>
      <c r="W246">
        <v>0.438</v>
      </c>
      <c r="X246">
        <v>0.46200000000000002</v>
      </c>
      <c r="Y246">
        <v>0.1</v>
      </c>
      <c r="Z246">
        <v>0</v>
      </c>
      <c r="AA246">
        <v>0</v>
      </c>
      <c r="AB246">
        <v>0.7</v>
      </c>
      <c r="AC246">
        <v>20</v>
      </c>
      <c r="AD246">
        <v>800</v>
      </c>
      <c r="AE246">
        <v>20</v>
      </c>
      <c r="AF246">
        <v>1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f t="shared" si="12"/>
        <v>0.09</v>
      </c>
      <c r="AM246">
        <v>4.3499999999999997E-2</v>
      </c>
    </row>
    <row r="247" spans="1:39" x14ac:dyDescent="0.25">
      <c r="A247" s="6" t="s">
        <v>227</v>
      </c>
      <c r="B247" t="s">
        <v>257</v>
      </c>
      <c r="C247" t="s">
        <v>35</v>
      </c>
      <c r="D247" t="s">
        <v>35</v>
      </c>
      <c r="E247" t="s">
        <v>35</v>
      </c>
      <c r="F247" t="s">
        <v>35</v>
      </c>
      <c r="G247" t="s">
        <v>35</v>
      </c>
      <c r="H247" t="s">
        <v>35</v>
      </c>
      <c r="I247" t="s">
        <v>35</v>
      </c>
      <c r="J247" t="s">
        <v>35</v>
      </c>
      <c r="K247">
        <v>0.2089</v>
      </c>
      <c r="L247" t="s">
        <v>35</v>
      </c>
      <c r="M247">
        <v>3.1399999999999997E-2</v>
      </c>
      <c r="N247">
        <v>0.75929999999999997</v>
      </c>
      <c r="O247">
        <v>74</v>
      </c>
      <c r="P247">
        <v>0.66500000000000004</v>
      </c>
      <c r="Q247" t="s">
        <v>35</v>
      </c>
      <c r="R247" t="s">
        <v>35</v>
      </c>
      <c r="S247" t="s">
        <v>35</v>
      </c>
      <c r="T247" t="s">
        <v>35</v>
      </c>
      <c r="U247" t="s">
        <v>35</v>
      </c>
      <c r="V247">
        <v>1</v>
      </c>
      <c r="W247">
        <v>0.438</v>
      </c>
      <c r="X247">
        <v>0.46200000000000002</v>
      </c>
      <c r="Y247">
        <v>0.1</v>
      </c>
      <c r="Z247">
        <v>0</v>
      </c>
      <c r="AA247">
        <v>0</v>
      </c>
      <c r="AB247">
        <v>0.7</v>
      </c>
      <c r="AC247">
        <v>20</v>
      </c>
      <c r="AD247">
        <v>800</v>
      </c>
      <c r="AE247">
        <v>40</v>
      </c>
      <c r="AF247">
        <v>1</v>
      </c>
      <c r="AG247">
        <v>0</v>
      </c>
      <c r="AH247">
        <v>0</v>
      </c>
      <c r="AI247">
        <v>0</v>
      </c>
      <c r="AJ247">
        <v>0</v>
      </c>
      <c r="AK247">
        <v>1</v>
      </c>
      <c r="AL247">
        <f t="shared" si="12"/>
        <v>0.09</v>
      </c>
      <c r="AM247">
        <v>3.4500000000000003E-2</v>
      </c>
    </row>
    <row r="248" spans="1:39" x14ac:dyDescent="0.25">
      <c r="A248" s="6" t="s">
        <v>227</v>
      </c>
      <c r="B248" t="s">
        <v>258</v>
      </c>
      <c r="C248" t="s">
        <v>35</v>
      </c>
      <c r="D248" t="s">
        <v>35</v>
      </c>
      <c r="E248" t="s">
        <v>35</v>
      </c>
      <c r="F248" t="s">
        <v>35</v>
      </c>
      <c r="G248" t="s">
        <v>35</v>
      </c>
      <c r="H248" t="s">
        <v>35</v>
      </c>
      <c r="I248" t="s">
        <v>35</v>
      </c>
      <c r="J248" t="s">
        <v>35</v>
      </c>
      <c r="K248">
        <v>0.2089</v>
      </c>
      <c r="L248" t="s">
        <v>35</v>
      </c>
      <c r="M248">
        <v>3.1399999999999997E-2</v>
      </c>
      <c r="N248">
        <v>0.75929999999999997</v>
      </c>
      <c r="O248">
        <v>74</v>
      </c>
      <c r="P248">
        <v>0.66500000000000004</v>
      </c>
      <c r="Q248" t="s">
        <v>35</v>
      </c>
      <c r="R248" t="s">
        <v>35</v>
      </c>
      <c r="S248" t="s">
        <v>35</v>
      </c>
      <c r="T248" t="s">
        <v>35</v>
      </c>
      <c r="U248" t="s">
        <v>35</v>
      </c>
      <c r="V248">
        <v>1</v>
      </c>
      <c r="W248">
        <v>0.438</v>
      </c>
      <c r="X248">
        <v>0.46200000000000002</v>
      </c>
      <c r="Y248">
        <v>0.1</v>
      </c>
      <c r="Z248">
        <v>0</v>
      </c>
      <c r="AA248">
        <v>0</v>
      </c>
      <c r="AB248">
        <v>0.7</v>
      </c>
      <c r="AC248">
        <v>20</v>
      </c>
      <c r="AD248">
        <v>800</v>
      </c>
      <c r="AE248">
        <v>60</v>
      </c>
      <c r="AF248">
        <v>1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f t="shared" si="12"/>
        <v>0.09</v>
      </c>
      <c r="AM248">
        <v>2.2499999999999999E-2</v>
      </c>
    </row>
    <row r="249" spans="1:39" x14ac:dyDescent="0.25">
      <c r="A249" s="6" t="s">
        <v>227</v>
      </c>
      <c r="B249" t="s">
        <v>259</v>
      </c>
      <c r="C249" t="s">
        <v>35</v>
      </c>
      <c r="D249" t="s">
        <v>35</v>
      </c>
      <c r="E249" t="s">
        <v>35</v>
      </c>
      <c r="F249" t="s">
        <v>35</v>
      </c>
      <c r="G249" t="s">
        <v>35</v>
      </c>
      <c r="H249" t="s">
        <v>35</v>
      </c>
      <c r="I249" t="s">
        <v>35</v>
      </c>
      <c r="J249" t="s">
        <v>35</v>
      </c>
      <c r="K249">
        <v>0.879</v>
      </c>
      <c r="L249" t="s">
        <v>35</v>
      </c>
      <c r="M249">
        <v>2.0500000000000001E-2</v>
      </c>
      <c r="N249">
        <v>0.10050000000000001</v>
      </c>
      <c r="O249">
        <v>74</v>
      </c>
      <c r="P249">
        <v>0.66500000000000004</v>
      </c>
      <c r="Q249" t="s">
        <v>35</v>
      </c>
      <c r="R249" t="s">
        <v>35</v>
      </c>
      <c r="S249" t="s">
        <v>35</v>
      </c>
      <c r="T249" t="s">
        <v>35</v>
      </c>
      <c r="U249" t="s">
        <v>35</v>
      </c>
      <c r="V249">
        <v>1</v>
      </c>
      <c r="W249">
        <v>0.1656</v>
      </c>
      <c r="X249">
        <v>0.73440000000000005</v>
      </c>
      <c r="Y249">
        <v>0.1</v>
      </c>
      <c r="Z249">
        <v>0</v>
      </c>
      <c r="AA249">
        <v>0</v>
      </c>
      <c r="AB249">
        <v>0.7</v>
      </c>
      <c r="AC249">
        <v>20</v>
      </c>
      <c r="AD249">
        <v>800</v>
      </c>
      <c r="AE249">
        <v>10</v>
      </c>
      <c r="AF249">
        <v>1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f t="shared" si="12"/>
        <v>0.09</v>
      </c>
      <c r="AM249">
        <v>2.1999999999999999E-2</v>
      </c>
    </row>
    <row r="250" spans="1:39" x14ac:dyDescent="0.25">
      <c r="A250" s="6" t="s">
        <v>227</v>
      </c>
      <c r="B250" t="s">
        <v>260</v>
      </c>
      <c r="C250" t="s">
        <v>35</v>
      </c>
      <c r="D250" t="s">
        <v>35</v>
      </c>
      <c r="E250" t="s">
        <v>35</v>
      </c>
      <c r="F250" t="s">
        <v>35</v>
      </c>
      <c r="G250" t="s">
        <v>35</v>
      </c>
      <c r="H250" t="s">
        <v>35</v>
      </c>
      <c r="I250" t="s">
        <v>35</v>
      </c>
      <c r="J250" t="s">
        <v>35</v>
      </c>
      <c r="K250">
        <v>0.879</v>
      </c>
      <c r="L250" t="s">
        <v>35</v>
      </c>
      <c r="M250">
        <v>2.0500000000000001E-2</v>
      </c>
      <c r="N250">
        <v>0.10050000000000001</v>
      </c>
      <c r="O250">
        <v>74</v>
      </c>
      <c r="P250">
        <v>0.66500000000000004</v>
      </c>
      <c r="Q250" t="s">
        <v>35</v>
      </c>
      <c r="R250" t="s">
        <v>35</v>
      </c>
      <c r="S250" t="s">
        <v>35</v>
      </c>
      <c r="T250" t="s">
        <v>35</v>
      </c>
      <c r="U250" t="s">
        <v>35</v>
      </c>
      <c r="V250">
        <v>1</v>
      </c>
      <c r="W250">
        <v>0.1656</v>
      </c>
      <c r="X250">
        <v>0.73440000000000005</v>
      </c>
      <c r="Y250">
        <v>0.1</v>
      </c>
      <c r="Z250">
        <v>0</v>
      </c>
      <c r="AA250">
        <v>0</v>
      </c>
      <c r="AB250">
        <v>0.7</v>
      </c>
      <c r="AC250">
        <v>20</v>
      </c>
      <c r="AD250">
        <v>800</v>
      </c>
      <c r="AE250">
        <v>20</v>
      </c>
      <c r="AF250">
        <v>1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f t="shared" si="12"/>
        <v>0.09</v>
      </c>
      <c r="AM250">
        <v>3.5999999999999997E-2</v>
      </c>
    </row>
    <row r="251" spans="1:39" x14ac:dyDescent="0.25">
      <c r="A251" s="6" t="s">
        <v>227</v>
      </c>
      <c r="B251" t="s">
        <v>261</v>
      </c>
      <c r="C251" t="s">
        <v>35</v>
      </c>
      <c r="D251" t="s">
        <v>35</v>
      </c>
      <c r="E251" t="s">
        <v>35</v>
      </c>
      <c r="F251" t="s">
        <v>35</v>
      </c>
      <c r="G251" t="s">
        <v>35</v>
      </c>
      <c r="H251" t="s">
        <v>35</v>
      </c>
      <c r="I251" t="s">
        <v>35</v>
      </c>
      <c r="J251" t="s">
        <v>35</v>
      </c>
      <c r="K251">
        <v>0.879</v>
      </c>
      <c r="L251" t="s">
        <v>35</v>
      </c>
      <c r="M251">
        <v>2.0500000000000001E-2</v>
      </c>
      <c r="N251">
        <v>0.10050000000000001</v>
      </c>
      <c r="O251">
        <v>74</v>
      </c>
      <c r="P251">
        <v>0.66500000000000004</v>
      </c>
      <c r="Q251" t="s">
        <v>35</v>
      </c>
      <c r="R251" t="s">
        <v>35</v>
      </c>
      <c r="S251" t="s">
        <v>35</v>
      </c>
      <c r="T251" t="s">
        <v>35</v>
      </c>
      <c r="U251" t="s">
        <v>35</v>
      </c>
      <c r="V251">
        <v>1</v>
      </c>
      <c r="W251">
        <v>0.1656</v>
      </c>
      <c r="X251">
        <v>0.73440000000000005</v>
      </c>
      <c r="Y251">
        <v>0.1</v>
      </c>
      <c r="Z251">
        <v>0</v>
      </c>
      <c r="AA251">
        <v>0</v>
      </c>
      <c r="AB251">
        <v>0.7</v>
      </c>
      <c r="AC251">
        <v>20</v>
      </c>
      <c r="AD251">
        <v>800</v>
      </c>
      <c r="AE251">
        <v>40</v>
      </c>
      <c r="AF251">
        <v>1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f t="shared" si="12"/>
        <v>0.09</v>
      </c>
      <c r="AM251">
        <v>2.35E-2</v>
      </c>
    </row>
    <row r="252" spans="1:39" x14ac:dyDescent="0.25">
      <c r="A252" s="6" t="s">
        <v>227</v>
      </c>
      <c r="B252" t="s">
        <v>262</v>
      </c>
      <c r="C252" t="s">
        <v>35</v>
      </c>
      <c r="D252" t="s">
        <v>35</v>
      </c>
      <c r="E252" t="s">
        <v>35</v>
      </c>
      <c r="F252" t="s">
        <v>35</v>
      </c>
      <c r="G252" t="s">
        <v>35</v>
      </c>
      <c r="H252" t="s">
        <v>35</v>
      </c>
      <c r="I252" t="s">
        <v>35</v>
      </c>
      <c r="J252" t="s">
        <v>35</v>
      </c>
      <c r="K252">
        <v>0.879</v>
      </c>
      <c r="L252" t="s">
        <v>35</v>
      </c>
      <c r="M252">
        <v>2.0500000000000001E-2</v>
      </c>
      <c r="N252">
        <v>0.10050000000000001</v>
      </c>
      <c r="O252">
        <v>74</v>
      </c>
      <c r="P252">
        <v>0.66500000000000004</v>
      </c>
      <c r="Q252" t="s">
        <v>35</v>
      </c>
      <c r="R252" t="s">
        <v>35</v>
      </c>
      <c r="S252" t="s">
        <v>35</v>
      </c>
      <c r="T252" t="s">
        <v>35</v>
      </c>
      <c r="U252" t="s">
        <v>35</v>
      </c>
      <c r="V252">
        <v>1</v>
      </c>
      <c r="W252">
        <v>0.1656</v>
      </c>
      <c r="X252">
        <v>0.73440000000000005</v>
      </c>
      <c r="Y252">
        <v>0.1</v>
      </c>
      <c r="Z252">
        <v>0</v>
      </c>
      <c r="AA252">
        <v>0</v>
      </c>
      <c r="AB252">
        <v>0.7</v>
      </c>
      <c r="AC252">
        <v>20</v>
      </c>
      <c r="AD252">
        <v>800</v>
      </c>
      <c r="AE252">
        <v>60</v>
      </c>
      <c r="AF252">
        <v>1</v>
      </c>
      <c r="AG252">
        <v>0</v>
      </c>
      <c r="AH252">
        <v>0</v>
      </c>
      <c r="AI252">
        <v>0</v>
      </c>
      <c r="AJ252">
        <v>0</v>
      </c>
      <c r="AK252">
        <v>1</v>
      </c>
      <c r="AL252">
        <f t="shared" si="12"/>
        <v>0.09</v>
      </c>
      <c r="AM252">
        <v>1.7999999999999999E-2</v>
      </c>
    </row>
    <row r="253" spans="1:39" x14ac:dyDescent="0.25">
      <c r="A253" s="6" t="s">
        <v>227</v>
      </c>
      <c r="B253" t="s">
        <v>263</v>
      </c>
      <c r="C253" t="s">
        <v>35</v>
      </c>
      <c r="D253" t="s">
        <v>35</v>
      </c>
      <c r="E253" t="s">
        <v>35</v>
      </c>
      <c r="F253" t="s">
        <v>35</v>
      </c>
      <c r="G253" t="s">
        <v>35</v>
      </c>
      <c r="H253" t="s">
        <v>35</v>
      </c>
      <c r="I253" t="s">
        <v>35</v>
      </c>
      <c r="J253" t="s">
        <v>35</v>
      </c>
      <c r="K253">
        <v>0.61450000000000005</v>
      </c>
      <c r="L253" t="s">
        <v>35</v>
      </c>
      <c r="M253">
        <v>0.16520000000000001</v>
      </c>
      <c r="N253">
        <v>0.21820000000000001</v>
      </c>
      <c r="O253">
        <v>74</v>
      </c>
      <c r="P253">
        <v>0.66500000000000004</v>
      </c>
      <c r="Q253" t="s">
        <v>35</v>
      </c>
      <c r="R253" t="s">
        <v>35</v>
      </c>
      <c r="S253" t="s">
        <v>35</v>
      </c>
      <c r="T253" t="s">
        <v>35</v>
      </c>
      <c r="U253" t="s">
        <v>35</v>
      </c>
      <c r="V253">
        <v>1</v>
      </c>
      <c r="W253">
        <v>0.2195</v>
      </c>
      <c r="X253">
        <v>0.68049999999999999</v>
      </c>
      <c r="Y253">
        <v>0.1</v>
      </c>
      <c r="Z253">
        <v>0</v>
      </c>
      <c r="AA253">
        <v>0</v>
      </c>
      <c r="AB253">
        <v>0.7</v>
      </c>
      <c r="AC253">
        <v>20</v>
      </c>
      <c r="AD253">
        <v>800</v>
      </c>
      <c r="AE253">
        <v>10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1</v>
      </c>
      <c r="AL253">
        <f t="shared" si="12"/>
        <v>0.09</v>
      </c>
      <c r="AM253">
        <v>2.1999999999999999E-2</v>
      </c>
    </row>
    <row r="254" spans="1:39" x14ac:dyDescent="0.25">
      <c r="A254" s="6" t="s">
        <v>227</v>
      </c>
      <c r="B254" t="s">
        <v>264</v>
      </c>
      <c r="C254" t="s">
        <v>35</v>
      </c>
      <c r="D254" t="s">
        <v>35</v>
      </c>
      <c r="E254" t="s">
        <v>35</v>
      </c>
      <c r="F254" t="s">
        <v>35</v>
      </c>
      <c r="G254" t="s">
        <v>35</v>
      </c>
      <c r="H254" t="s">
        <v>35</v>
      </c>
      <c r="I254" t="s">
        <v>35</v>
      </c>
      <c r="J254" t="s">
        <v>35</v>
      </c>
      <c r="K254">
        <v>0.61450000000000005</v>
      </c>
      <c r="L254" t="s">
        <v>35</v>
      </c>
      <c r="M254">
        <v>0.16520000000000001</v>
      </c>
      <c r="N254">
        <v>0.21820000000000001</v>
      </c>
      <c r="O254">
        <v>74</v>
      </c>
      <c r="P254">
        <v>0.66500000000000004</v>
      </c>
      <c r="Q254" t="s">
        <v>35</v>
      </c>
      <c r="R254" t="s">
        <v>35</v>
      </c>
      <c r="S254" t="s">
        <v>35</v>
      </c>
      <c r="T254" t="s">
        <v>35</v>
      </c>
      <c r="U254" t="s">
        <v>35</v>
      </c>
      <c r="V254">
        <v>1</v>
      </c>
      <c r="W254">
        <v>0.2195</v>
      </c>
      <c r="X254">
        <v>0.68049999999999999</v>
      </c>
      <c r="Y254">
        <v>0.1</v>
      </c>
      <c r="Z254">
        <v>0</v>
      </c>
      <c r="AA254">
        <v>0</v>
      </c>
      <c r="AB254">
        <v>0.7</v>
      </c>
      <c r="AC254">
        <v>20</v>
      </c>
      <c r="AD254">
        <v>800</v>
      </c>
      <c r="AE254">
        <v>20</v>
      </c>
      <c r="AF254">
        <v>1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f t="shared" si="12"/>
        <v>0.09</v>
      </c>
      <c r="AM254">
        <v>3.5999999999999997E-2</v>
      </c>
    </row>
    <row r="255" spans="1:39" x14ac:dyDescent="0.25">
      <c r="A255" s="6" t="s">
        <v>227</v>
      </c>
      <c r="B255" t="s">
        <v>265</v>
      </c>
      <c r="C255" t="s">
        <v>35</v>
      </c>
      <c r="D255" t="s">
        <v>35</v>
      </c>
      <c r="E255" t="s">
        <v>35</v>
      </c>
      <c r="F255" t="s">
        <v>35</v>
      </c>
      <c r="G255" t="s">
        <v>35</v>
      </c>
      <c r="H255" t="s">
        <v>35</v>
      </c>
      <c r="I255" t="s">
        <v>35</v>
      </c>
      <c r="J255" t="s">
        <v>35</v>
      </c>
      <c r="K255">
        <v>0.61450000000000005</v>
      </c>
      <c r="L255" t="s">
        <v>35</v>
      </c>
      <c r="M255">
        <v>0.16520000000000001</v>
      </c>
      <c r="N255">
        <v>0.21820000000000001</v>
      </c>
      <c r="O255">
        <v>74</v>
      </c>
      <c r="P255">
        <v>0.66500000000000004</v>
      </c>
      <c r="Q255" t="s">
        <v>35</v>
      </c>
      <c r="R255" t="s">
        <v>35</v>
      </c>
      <c r="S255" t="s">
        <v>35</v>
      </c>
      <c r="T255" t="s">
        <v>35</v>
      </c>
      <c r="U255" t="s">
        <v>35</v>
      </c>
      <c r="V255">
        <v>1</v>
      </c>
      <c r="W255">
        <v>0.2195</v>
      </c>
      <c r="X255">
        <v>0.68049999999999999</v>
      </c>
      <c r="Y255">
        <v>0.1</v>
      </c>
      <c r="Z255">
        <v>0</v>
      </c>
      <c r="AA255">
        <v>0</v>
      </c>
      <c r="AB255">
        <v>0.7</v>
      </c>
      <c r="AC255">
        <v>20</v>
      </c>
      <c r="AD255">
        <v>800</v>
      </c>
      <c r="AE255">
        <v>40</v>
      </c>
      <c r="AF255">
        <v>1</v>
      </c>
      <c r="AG255">
        <v>0</v>
      </c>
      <c r="AH255">
        <v>0</v>
      </c>
      <c r="AI255">
        <v>0</v>
      </c>
      <c r="AJ255">
        <v>0</v>
      </c>
      <c r="AK255">
        <v>1</v>
      </c>
      <c r="AL255">
        <f t="shared" si="12"/>
        <v>0.09</v>
      </c>
      <c r="AM255">
        <v>2.1499999999999998E-2</v>
      </c>
    </row>
    <row r="256" spans="1:39" x14ac:dyDescent="0.25">
      <c r="A256" s="6" t="s">
        <v>227</v>
      </c>
      <c r="B256" t="s">
        <v>266</v>
      </c>
      <c r="C256" t="s">
        <v>35</v>
      </c>
      <c r="D256" t="s">
        <v>35</v>
      </c>
      <c r="E256" t="s">
        <v>35</v>
      </c>
      <c r="F256" t="s">
        <v>35</v>
      </c>
      <c r="G256" t="s">
        <v>35</v>
      </c>
      <c r="H256" t="s">
        <v>35</v>
      </c>
      <c r="I256" t="s">
        <v>35</v>
      </c>
      <c r="J256" t="s">
        <v>35</v>
      </c>
      <c r="K256">
        <v>0.61450000000000005</v>
      </c>
      <c r="L256" t="s">
        <v>35</v>
      </c>
      <c r="M256">
        <v>0.16520000000000001</v>
      </c>
      <c r="N256">
        <v>0.21820000000000001</v>
      </c>
      <c r="O256">
        <v>74</v>
      </c>
      <c r="P256">
        <v>0.66500000000000004</v>
      </c>
      <c r="Q256" t="s">
        <v>35</v>
      </c>
      <c r="R256" t="s">
        <v>35</v>
      </c>
      <c r="S256" t="s">
        <v>35</v>
      </c>
      <c r="T256" t="s">
        <v>35</v>
      </c>
      <c r="U256" t="s">
        <v>35</v>
      </c>
      <c r="V256">
        <v>1</v>
      </c>
      <c r="W256">
        <v>0.2195</v>
      </c>
      <c r="X256">
        <v>0.68049999999999999</v>
      </c>
      <c r="Y256">
        <v>0.1</v>
      </c>
      <c r="Z256">
        <v>0</v>
      </c>
      <c r="AA256">
        <v>0</v>
      </c>
      <c r="AB256">
        <v>0.7</v>
      </c>
      <c r="AC256">
        <v>20</v>
      </c>
      <c r="AD256">
        <v>800</v>
      </c>
      <c r="AE256">
        <v>60</v>
      </c>
      <c r="AF256">
        <v>1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f t="shared" si="12"/>
        <v>0.09</v>
      </c>
      <c r="AM256">
        <v>8.9999999999999993E-3</v>
      </c>
    </row>
    <row r="257" spans="1:39" x14ac:dyDescent="0.25">
      <c r="A257" s="6" t="s">
        <v>227</v>
      </c>
      <c r="B257" t="s">
        <v>267</v>
      </c>
      <c r="C257" t="s">
        <v>35</v>
      </c>
      <c r="D257" t="s">
        <v>35</v>
      </c>
      <c r="E257" t="s">
        <v>35</v>
      </c>
      <c r="F257" t="s">
        <v>35</v>
      </c>
      <c r="G257" t="s">
        <v>35</v>
      </c>
      <c r="H257" t="s">
        <v>35</v>
      </c>
      <c r="I257" t="s">
        <v>35</v>
      </c>
      <c r="J257" t="s">
        <v>35</v>
      </c>
      <c r="K257">
        <v>0.2089</v>
      </c>
      <c r="L257" t="s">
        <v>35</v>
      </c>
      <c r="M257">
        <v>3.1399999999999997E-2</v>
      </c>
      <c r="N257">
        <v>0.75929999999999997</v>
      </c>
      <c r="O257">
        <v>74</v>
      </c>
      <c r="P257">
        <v>0.66500000000000004</v>
      </c>
      <c r="Q257" t="s">
        <v>35</v>
      </c>
      <c r="R257" t="s">
        <v>35</v>
      </c>
      <c r="S257" t="s">
        <v>35</v>
      </c>
      <c r="T257" t="s">
        <v>35</v>
      </c>
      <c r="U257" t="s">
        <v>35</v>
      </c>
      <c r="V257">
        <v>1</v>
      </c>
      <c r="W257">
        <v>0.438</v>
      </c>
      <c r="X257">
        <v>0.46200000000000002</v>
      </c>
      <c r="Y257">
        <v>0.1</v>
      </c>
      <c r="Z257">
        <v>0</v>
      </c>
      <c r="AA257">
        <v>0</v>
      </c>
      <c r="AB257">
        <v>0.7</v>
      </c>
      <c r="AC257">
        <v>20</v>
      </c>
      <c r="AD257">
        <v>1000</v>
      </c>
      <c r="AE257">
        <v>10</v>
      </c>
      <c r="AF257">
        <v>1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f t="shared" si="12"/>
        <v>0.09</v>
      </c>
      <c r="AM257">
        <v>0.3</v>
      </c>
    </row>
    <row r="258" spans="1:39" x14ac:dyDescent="0.25">
      <c r="A258" s="6" t="s">
        <v>227</v>
      </c>
      <c r="B258" t="s">
        <v>268</v>
      </c>
      <c r="C258" t="s">
        <v>35</v>
      </c>
      <c r="D258" t="s">
        <v>35</v>
      </c>
      <c r="E258" t="s">
        <v>35</v>
      </c>
      <c r="F258" t="s">
        <v>35</v>
      </c>
      <c r="G258" t="s">
        <v>35</v>
      </c>
      <c r="H258" t="s">
        <v>35</v>
      </c>
      <c r="I258" t="s">
        <v>35</v>
      </c>
      <c r="J258" t="s">
        <v>35</v>
      </c>
      <c r="K258">
        <v>0.2089</v>
      </c>
      <c r="L258" t="s">
        <v>35</v>
      </c>
      <c r="M258">
        <v>3.1399999999999997E-2</v>
      </c>
      <c r="N258">
        <v>0.75929999999999997</v>
      </c>
      <c r="O258">
        <v>74</v>
      </c>
      <c r="P258">
        <v>0.66500000000000004</v>
      </c>
      <c r="Q258" t="s">
        <v>35</v>
      </c>
      <c r="R258" t="s">
        <v>35</v>
      </c>
      <c r="S258" t="s">
        <v>35</v>
      </c>
      <c r="T258" t="s">
        <v>35</v>
      </c>
      <c r="U258" t="s">
        <v>35</v>
      </c>
      <c r="V258">
        <v>1</v>
      </c>
      <c r="W258">
        <v>0.438</v>
      </c>
      <c r="X258">
        <v>0.46200000000000002</v>
      </c>
      <c r="Y258">
        <v>0.1</v>
      </c>
      <c r="Z258">
        <v>0</v>
      </c>
      <c r="AA258">
        <v>0</v>
      </c>
      <c r="AB258">
        <v>0.7</v>
      </c>
      <c r="AC258">
        <v>20</v>
      </c>
      <c r="AD258">
        <v>1000</v>
      </c>
      <c r="AE258">
        <v>20</v>
      </c>
      <c r="AF258">
        <v>1</v>
      </c>
      <c r="AG258">
        <v>0</v>
      </c>
      <c r="AH258">
        <v>0</v>
      </c>
      <c r="AI258">
        <v>0</v>
      </c>
      <c r="AJ258">
        <v>0</v>
      </c>
      <c r="AK258">
        <v>1</v>
      </c>
      <c r="AL258">
        <f t="shared" si="12"/>
        <v>0.09</v>
      </c>
      <c r="AM258">
        <v>0.375</v>
      </c>
    </row>
    <row r="259" spans="1:39" x14ac:dyDescent="0.25">
      <c r="A259" s="6" t="s">
        <v>227</v>
      </c>
      <c r="B259" t="s">
        <v>269</v>
      </c>
      <c r="C259" t="s">
        <v>35</v>
      </c>
      <c r="D259" t="s">
        <v>35</v>
      </c>
      <c r="E259" t="s">
        <v>35</v>
      </c>
      <c r="F259" t="s">
        <v>35</v>
      </c>
      <c r="G259" t="s">
        <v>35</v>
      </c>
      <c r="H259" t="s">
        <v>35</v>
      </c>
      <c r="I259" t="s">
        <v>35</v>
      </c>
      <c r="J259" t="s">
        <v>35</v>
      </c>
      <c r="K259">
        <v>0.2089</v>
      </c>
      <c r="L259" t="s">
        <v>35</v>
      </c>
      <c r="M259">
        <v>3.1399999999999997E-2</v>
      </c>
      <c r="N259">
        <v>0.75929999999999997</v>
      </c>
      <c r="O259">
        <v>74</v>
      </c>
      <c r="P259">
        <v>0.66500000000000004</v>
      </c>
      <c r="Q259" t="s">
        <v>35</v>
      </c>
      <c r="R259" t="s">
        <v>35</v>
      </c>
      <c r="S259" t="s">
        <v>35</v>
      </c>
      <c r="T259" t="s">
        <v>35</v>
      </c>
      <c r="U259" t="s">
        <v>35</v>
      </c>
      <c r="V259">
        <v>1</v>
      </c>
      <c r="W259">
        <v>0.438</v>
      </c>
      <c r="X259">
        <v>0.46200000000000002</v>
      </c>
      <c r="Y259">
        <v>0.1</v>
      </c>
      <c r="Z259">
        <v>0</v>
      </c>
      <c r="AA259">
        <v>0</v>
      </c>
      <c r="AB259">
        <v>0.7</v>
      </c>
      <c r="AC259">
        <v>20</v>
      </c>
      <c r="AD259">
        <v>1000</v>
      </c>
      <c r="AE259">
        <v>40</v>
      </c>
      <c r="AF259">
        <v>1</v>
      </c>
      <c r="AG259">
        <v>0</v>
      </c>
      <c r="AH259">
        <v>0</v>
      </c>
      <c r="AI259">
        <v>0</v>
      </c>
      <c r="AJ259">
        <v>0</v>
      </c>
      <c r="AK259">
        <v>1</v>
      </c>
      <c r="AL259">
        <f t="shared" si="12"/>
        <v>0.09</v>
      </c>
      <c r="AM259">
        <v>0.3</v>
      </c>
    </row>
    <row r="260" spans="1:39" x14ac:dyDescent="0.25">
      <c r="A260" s="6" t="s">
        <v>227</v>
      </c>
      <c r="B260" t="s">
        <v>270</v>
      </c>
      <c r="C260" t="s">
        <v>35</v>
      </c>
      <c r="D260" t="s">
        <v>35</v>
      </c>
      <c r="E260" t="s">
        <v>35</v>
      </c>
      <c r="F260" t="s">
        <v>35</v>
      </c>
      <c r="G260" t="s">
        <v>35</v>
      </c>
      <c r="H260" t="s">
        <v>35</v>
      </c>
      <c r="I260" t="s">
        <v>35</v>
      </c>
      <c r="J260" t="s">
        <v>35</v>
      </c>
      <c r="K260">
        <v>0.2089</v>
      </c>
      <c r="L260" t="s">
        <v>35</v>
      </c>
      <c r="M260">
        <v>3.1399999999999997E-2</v>
      </c>
      <c r="N260">
        <v>0.75929999999999997</v>
      </c>
      <c r="O260">
        <v>74</v>
      </c>
      <c r="P260">
        <v>0.66500000000000004</v>
      </c>
      <c r="Q260" t="s">
        <v>35</v>
      </c>
      <c r="R260" t="s">
        <v>35</v>
      </c>
      <c r="S260" t="s">
        <v>35</v>
      </c>
      <c r="T260" t="s">
        <v>35</v>
      </c>
      <c r="U260" t="s">
        <v>35</v>
      </c>
      <c r="V260">
        <v>1</v>
      </c>
      <c r="W260">
        <v>0.438</v>
      </c>
      <c r="X260">
        <v>0.46200000000000002</v>
      </c>
      <c r="Y260">
        <v>0.1</v>
      </c>
      <c r="Z260">
        <v>0</v>
      </c>
      <c r="AA260">
        <v>0</v>
      </c>
      <c r="AB260">
        <v>0.7</v>
      </c>
      <c r="AC260">
        <v>20</v>
      </c>
      <c r="AD260">
        <v>1000</v>
      </c>
      <c r="AE260">
        <v>60</v>
      </c>
      <c r="AF260">
        <v>1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f t="shared" si="12"/>
        <v>0.09</v>
      </c>
      <c r="AM260">
        <v>0.15</v>
      </c>
    </row>
    <row r="261" spans="1:39" x14ac:dyDescent="0.25">
      <c r="A261" s="6" t="s">
        <v>227</v>
      </c>
      <c r="B261" t="s">
        <v>271</v>
      </c>
      <c r="C261" t="s">
        <v>35</v>
      </c>
      <c r="D261" t="s">
        <v>35</v>
      </c>
      <c r="E261" t="s">
        <v>35</v>
      </c>
      <c r="F261" t="s">
        <v>35</v>
      </c>
      <c r="G261" t="s">
        <v>35</v>
      </c>
      <c r="H261" t="s">
        <v>35</v>
      </c>
      <c r="I261" t="s">
        <v>35</v>
      </c>
      <c r="J261" t="s">
        <v>35</v>
      </c>
      <c r="K261">
        <v>0.879</v>
      </c>
      <c r="L261" t="s">
        <v>35</v>
      </c>
      <c r="M261">
        <v>2.0500000000000001E-2</v>
      </c>
      <c r="N261">
        <v>0.10050000000000001</v>
      </c>
      <c r="O261">
        <v>74</v>
      </c>
      <c r="P261">
        <v>0.66500000000000004</v>
      </c>
      <c r="Q261" t="s">
        <v>35</v>
      </c>
      <c r="R261" t="s">
        <v>35</v>
      </c>
      <c r="S261" t="s">
        <v>35</v>
      </c>
      <c r="T261" t="s">
        <v>35</v>
      </c>
      <c r="U261" t="s">
        <v>35</v>
      </c>
      <c r="V261">
        <v>1</v>
      </c>
      <c r="W261">
        <v>0.1656</v>
      </c>
      <c r="X261">
        <v>0.73440000000000005</v>
      </c>
      <c r="Y261">
        <v>0.1</v>
      </c>
      <c r="Z261">
        <v>0</v>
      </c>
      <c r="AA261">
        <v>0</v>
      </c>
      <c r="AB261">
        <v>0.7</v>
      </c>
      <c r="AC261">
        <v>20</v>
      </c>
      <c r="AD261">
        <v>1000</v>
      </c>
      <c r="AE261">
        <v>10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1</v>
      </c>
      <c r="AL261">
        <f t="shared" si="12"/>
        <v>0.09</v>
      </c>
      <c r="AM261">
        <v>0.26</v>
      </c>
    </row>
    <row r="262" spans="1:39" x14ac:dyDescent="0.25">
      <c r="A262" s="6" t="s">
        <v>227</v>
      </c>
      <c r="B262" t="s">
        <v>272</v>
      </c>
      <c r="C262" t="s">
        <v>35</v>
      </c>
      <c r="D262" t="s">
        <v>35</v>
      </c>
      <c r="E262" t="s">
        <v>35</v>
      </c>
      <c r="F262" t="s">
        <v>35</v>
      </c>
      <c r="G262" t="s">
        <v>35</v>
      </c>
      <c r="H262" t="s">
        <v>35</v>
      </c>
      <c r="I262" t="s">
        <v>35</v>
      </c>
      <c r="J262" t="s">
        <v>35</v>
      </c>
      <c r="K262">
        <v>0.879</v>
      </c>
      <c r="L262" t="s">
        <v>35</v>
      </c>
      <c r="M262">
        <v>2.0500000000000001E-2</v>
      </c>
      <c r="N262">
        <v>0.10050000000000001</v>
      </c>
      <c r="O262">
        <v>74</v>
      </c>
      <c r="P262">
        <v>0.66500000000000004</v>
      </c>
      <c r="Q262" t="s">
        <v>35</v>
      </c>
      <c r="R262" t="s">
        <v>35</v>
      </c>
      <c r="S262" t="s">
        <v>35</v>
      </c>
      <c r="T262" t="s">
        <v>35</v>
      </c>
      <c r="U262" t="s">
        <v>35</v>
      </c>
      <c r="V262">
        <v>1</v>
      </c>
      <c r="W262">
        <v>0.1656</v>
      </c>
      <c r="X262">
        <v>0.73440000000000005</v>
      </c>
      <c r="Y262">
        <v>0.1</v>
      </c>
      <c r="Z262">
        <v>0</v>
      </c>
      <c r="AA262">
        <v>0</v>
      </c>
      <c r="AB262">
        <v>0.7</v>
      </c>
      <c r="AC262">
        <v>20</v>
      </c>
      <c r="AD262">
        <v>1000</v>
      </c>
      <c r="AE262">
        <v>20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f t="shared" si="12"/>
        <v>0.09</v>
      </c>
      <c r="AM262">
        <v>0.36</v>
      </c>
    </row>
    <row r="263" spans="1:39" x14ac:dyDescent="0.25">
      <c r="A263" s="6" t="s">
        <v>227</v>
      </c>
      <c r="B263" t="s">
        <v>273</v>
      </c>
      <c r="C263" t="s">
        <v>35</v>
      </c>
      <c r="D263" t="s">
        <v>35</v>
      </c>
      <c r="E263" t="s">
        <v>35</v>
      </c>
      <c r="F263" t="s">
        <v>35</v>
      </c>
      <c r="G263" t="s">
        <v>35</v>
      </c>
      <c r="H263" t="s">
        <v>35</v>
      </c>
      <c r="I263" t="s">
        <v>35</v>
      </c>
      <c r="J263" t="s">
        <v>35</v>
      </c>
      <c r="K263">
        <v>0.879</v>
      </c>
      <c r="L263" t="s">
        <v>35</v>
      </c>
      <c r="M263">
        <v>2.0500000000000001E-2</v>
      </c>
      <c r="N263">
        <v>0.10050000000000001</v>
      </c>
      <c r="O263">
        <v>74</v>
      </c>
      <c r="P263">
        <v>0.66500000000000004</v>
      </c>
      <c r="Q263" t="s">
        <v>35</v>
      </c>
      <c r="R263" t="s">
        <v>35</v>
      </c>
      <c r="S263" t="s">
        <v>35</v>
      </c>
      <c r="T263" t="s">
        <v>35</v>
      </c>
      <c r="U263" t="s">
        <v>35</v>
      </c>
      <c r="V263">
        <v>1</v>
      </c>
      <c r="W263">
        <v>0.1656</v>
      </c>
      <c r="X263">
        <v>0.73440000000000005</v>
      </c>
      <c r="Y263">
        <v>0.1</v>
      </c>
      <c r="Z263">
        <v>0</v>
      </c>
      <c r="AA263">
        <v>0</v>
      </c>
      <c r="AB263">
        <v>0.7</v>
      </c>
      <c r="AC263">
        <v>20</v>
      </c>
      <c r="AD263">
        <v>1000</v>
      </c>
      <c r="AE263">
        <v>40</v>
      </c>
      <c r="AF263">
        <v>1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f t="shared" si="12"/>
        <v>0.09</v>
      </c>
      <c r="AM263">
        <v>0.26</v>
      </c>
    </row>
    <row r="264" spans="1:39" x14ac:dyDescent="0.25">
      <c r="A264" s="6" t="s">
        <v>227</v>
      </c>
      <c r="B264" t="s">
        <v>274</v>
      </c>
      <c r="C264" t="s">
        <v>35</v>
      </c>
      <c r="D264" t="s">
        <v>35</v>
      </c>
      <c r="E264" t="s">
        <v>35</v>
      </c>
      <c r="F264" t="s">
        <v>35</v>
      </c>
      <c r="G264" t="s">
        <v>35</v>
      </c>
      <c r="H264" t="s">
        <v>35</v>
      </c>
      <c r="I264" t="s">
        <v>35</v>
      </c>
      <c r="J264" t="s">
        <v>35</v>
      </c>
      <c r="K264">
        <v>0.879</v>
      </c>
      <c r="L264" t="s">
        <v>35</v>
      </c>
      <c r="M264">
        <v>2.0500000000000001E-2</v>
      </c>
      <c r="N264">
        <v>0.10050000000000001</v>
      </c>
      <c r="O264">
        <v>74</v>
      </c>
      <c r="P264">
        <v>0.66500000000000004</v>
      </c>
      <c r="Q264" t="s">
        <v>35</v>
      </c>
      <c r="R264" t="s">
        <v>35</v>
      </c>
      <c r="S264" t="s">
        <v>35</v>
      </c>
      <c r="T264" t="s">
        <v>35</v>
      </c>
      <c r="U264" t="s">
        <v>35</v>
      </c>
      <c r="V264">
        <v>1</v>
      </c>
      <c r="W264">
        <v>0.1656</v>
      </c>
      <c r="X264">
        <v>0.73440000000000005</v>
      </c>
      <c r="Y264">
        <v>0.1</v>
      </c>
      <c r="Z264">
        <v>0</v>
      </c>
      <c r="AA264">
        <v>0</v>
      </c>
      <c r="AB264">
        <v>0.7</v>
      </c>
      <c r="AC264">
        <v>20</v>
      </c>
      <c r="AD264">
        <v>1000</v>
      </c>
      <c r="AE264">
        <v>60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f t="shared" si="12"/>
        <v>0.09</v>
      </c>
      <c r="AM264">
        <v>0.16</v>
      </c>
    </row>
    <row r="265" spans="1:39" x14ac:dyDescent="0.25">
      <c r="A265" s="6" t="s">
        <v>227</v>
      </c>
      <c r="B265" t="s">
        <v>275</v>
      </c>
      <c r="C265" t="s">
        <v>35</v>
      </c>
      <c r="D265" t="s">
        <v>35</v>
      </c>
      <c r="E265" t="s">
        <v>35</v>
      </c>
      <c r="F265" t="s">
        <v>35</v>
      </c>
      <c r="G265" t="s">
        <v>35</v>
      </c>
      <c r="H265" t="s">
        <v>35</v>
      </c>
      <c r="I265" t="s">
        <v>35</v>
      </c>
      <c r="J265" t="s">
        <v>35</v>
      </c>
      <c r="K265">
        <v>0.61450000000000005</v>
      </c>
      <c r="L265" t="s">
        <v>35</v>
      </c>
      <c r="M265">
        <v>0.16520000000000001</v>
      </c>
      <c r="N265">
        <v>0.21820000000000001</v>
      </c>
      <c r="O265">
        <v>74</v>
      </c>
      <c r="P265">
        <v>0.66500000000000004</v>
      </c>
      <c r="Q265" t="s">
        <v>35</v>
      </c>
      <c r="R265" t="s">
        <v>35</v>
      </c>
      <c r="S265" t="s">
        <v>35</v>
      </c>
      <c r="T265" t="s">
        <v>35</v>
      </c>
      <c r="U265" t="s">
        <v>35</v>
      </c>
      <c r="V265">
        <v>1</v>
      </c>
      <c r="W265">
        <v>0.2195</v>
      </c>
      <c r="X265">
        <v>0.68049999999999999</v>
      </c>
      <c r="Y265">
        <v>0.1</v>
      </c>
      <c r="Z265">
        <v>0</v>
      </c>
      <c r="AA265">
        <v>0</v>
      </c>
      <c r="AB265">
        <v>0.7</v>
      </c>
      <c r="AC265">
        <v>20</v>
      </c>
      <c r="AD265">
        <v>1000</v>
      </c>
      <c r="AE265">
        <v>10</v>
      </c>
      <c r="AF265">
        <v>1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f t="shared" si="12"/>
        <v>0.09</v>
      </c>
      <c r="AM265">
        <v>0.24</v>
      </c>
    </row>
    <row r="266" spans="1:39" x14ac:dyDescent="0.25">
      <c r="A266" s="6" t="s">
        <v>227</v>
      </c>
      <c r="B266" t="s">
        <v>276</v>
      </c>
      <c r="C266" t="s">
        <v>35</v>
      </c>
      <c r="D266" t="s">
        <v>35</v>
      </c>
      <c r="E266" t="s">
        <v>35</v>
      </c>
      <c r="F266" t="s">
        <v>35</v>
      </c>
      <c r="G266" t="s">
        <v>35</v>
      </c>
      <c r="H266" t="s">
        <v>35</v>
      </c>
      <c r="I266" t="s">
        <v>35</v>
      </c>
      <c r="J266" t="s">
        <v>35</v>
      </c>
      <c r="K266">
        <v>0.61450000000000005</v>
      </c>
      <c r="L266" t="s">
        <v>35</v>
      </c>
      <c r="M266">
        <v>0.16520000000000001</v>
      </c>
      <c r="N266">
        <v>0.21820000000000001</v>
      </c>
      <c r="O266">
        <v>74</v>
      </c>
      <c r="P266">
        <v>0.66500000000000004</v>
      </c>
      <c r="Q266" t="s">
        <v>35</v>
      </c>
      <c r="R266" t="s">
        <v>35</v>
      </c>
      <c r="S266" t="s">
        <v>35</v>
      </c>
      <c r="T266" t="s">
        <v>35</v>
      </c>
      <c r="U266" t="s">
        <v>35</v>
      </c>
      <c r="V266">
        <v>1</v>
      </c>
      <c r="W266">
        <v>0.2195</v>
      </c>
      <c r="X266">
        <v>0.68049999999999999</v>
      </c>
      <c r="Y266">
        <v>0.1</v>
      </c>
      <c r="Z266">
        <v>0</v>
      </c>
      <c r="AA266">
        <v>0</v>
      </c>
      <c r="AB266">
        <v>0.7</v>
      </c>
      <c r="AC266">
        <v>20</v>
      </c>
      <c r="AD266">
        <v>1000</v>
      </c>
      <c r="AE266">
        <v>20</v>
      </c>
      <c r="AF266">
        <v>1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f t="shared" si="12"/>
        <v>0.09</v>
      </c>
      <c r="AM266">
        <v>0.31</v>
      </c>
    </row>
    <row r="267" spans="1:39" x14ac:dyDescent="0.25">
      <c r="A267" s="6" t="s">
        <v>227</v>
      </c>
      <c r="B267" t="s">
        <v>277</v>
      </c>
      <c r="C267" t="s">
        <v>35</v>
      </c>
      <c r="D267" t="s">
        <v>35</v>
      </c>
      <c r="E267" t="s">
        <v>35</v>
      </c>
      <c r="F267" t="s">
        <v>35</v>
      </c>
      <c r="G267" t="s">
        <v>35</v>
      </c>
      <c r="H267" t="s">
        <v>35</v>
      </c>
      <c r="I267" t="s">
        <v>35</v>
      </c>
      <c r="J267" t="s">
        <v>35</v>
      </c>
      <c r="K267">
        <v>0.61450000000000005</v>
      </c>
      <c r="L267" t="s">
        <v>35</v>
      </c>
      <c r="M267">
        <v>0.16520000000000001</v>
      </c>
      <c r="N267">
        <v>0.21820000000000001</v>
      </c>
      <c r="O267">
        <v>74</v>
      </c>
      <c r="P267">
        <v>0.66500000000000004</v>
      </c>
      <c r="Q267" t="s">
        <v>35</v>
      </c>
      <c r="R267" t="s">
        <v>35</v>
      </c>
      <c r="S267" t="s">
        <v>35</v>
      </c>
      <c r="T267" t="s">
        <v>35</v>
      </c>
      <c r="U267" t="s">
        <v>35</v>
      </c>
      <c r="V267">
        <v>1</v>
      </c>
      <c r="W267">
        <v>0.2195</v>
      </c>
      <c r="X267">
        <v>0.68049999999999999</v>
      </c>
      <c r="Y267">
        <v>0.1</v>
      </c>
      <c r="Z267">
        <v>0</v>
      </c>
      <c r="AA267">
        <v>0</v>
      </c>
      <c r="AB267">
        <v>0.7</v>
      </c>
      <c r="AC267">
        <v>20</v>
      </c>
      <c r="AD267">
        <v>1000</v>
      </c>
      <c r="AE267">
        <v>40</v>
      </c>
      <c r="AF267">
        <v>1</v>
      </c>
      <c r="AG267">
        <v>0</v>
      </c>
      <c r="AH267">
        <v>0</v>
      </c>
      <c r="AI267">
        <v>0</v>
      </c>
      <c r="AJ267">
        <v>0</v>
      </c>
      <c r="AK267">
        <v>1</v>
      </c>
      <c r="AL267">
        <f t="shared" si="12"/>
        <v>0.09</v>
      </c>
      <c r="AM267">
        <v>0.21</v>
      </c>
    </row>
    <row r="268" spans="1:39" x14ac:dyDescent="0.25">
      <c r="A268" s="6" t="s">
        <v>227</v>
      </c>
      <c r="B268" t="s">
        <v>278</v>
      </c>
      <c r="C268" t="s">
        <v>35</v>
      </c>
      <c r="D268" t="s">
        <v>35</v>
      </c>
      <c r="E268" t="s">
        <v>35</v>
      </c>
      <c r="F268" t="s">
        <v>35</v>
      </c>
      <c r="G268" t="s">
        <v>35</v>
      </c>
      <c r="H268" t="s">
        <v>35</v>
      </c>
      <c r="I268" t="s">
        <v>35</v>
      </c>
      <c r="J268" t="s">
        <v>35</v>
      </c>
      <c r="K268">
        <v>0.61450000000000005</v>
      </c>
      <c r="L268" t="s">
        <v>35</v>
      </c>
      <c r="M268">
        <v>0.16520000000000001</v>
      </c>
      <c r="N268">
        <v>0.21820000000000001</v>
      </c>
      <c r="O268">
        <v>74</v>
      </c>
      <c r="P268">
        <v>0.66500000000000004</v>
      </c>
      <c r="Q268" t="s">
        <v>35</v>
      </c>
      <c r="R268" t="s">
        <v>35</v>
      </c>
      <c r="S268" t="s">
        <v>35</v>
      </c>
      <c r="T268" t="s">
        <v>35</v>
      </c>
      <c r="U268" t="s">
        <v>35</v>
      </c>
      <c r="V268">
        <v>1</v>
      </c>
      <c r="W268">
        <v>0.2195</v>
      </c>
      <c r="X268">
        <v>0.68049999999999999</v>
      </c>
      <c r="Y268">
        <v>0.1</v>
      </c>
      <c r="Z268">
        <v>0</v>
      </c>
      <c r="AA268">
        <v>0</v>
      </c>
      <c r="AB268">
        <v>0.7</v>
      </c>
      <c r="AC268">
        <v>20</v>
      </c>
      <c r="AD268">
        <v>1000</v>
      </c>
      <c r="AE268">
        <v>60</v>
      </c>
      <c r="AF268">
        <v>1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f t="shared" si="12"/>
        <v>0.09</v>
      </c>
      <c r="AM268">
        <v>0.11</v>
      </c>
    </row>
    <row r="269" spans="1:39" x14ac:dyDescent="0.25">
      <c r="A269" s="6" t="s">
        <v>227</v>
      </c>
      <c r="B269" t="s">
        <v>279</v>
      </c>
      <c r="C269" t="s">
        <v>35</v>
      </c>
      <c r="D269" t="s">
        <v>35</v>
      </c>
      <c r="E269" t="s">
        <v>35</v>
      </c>
      <c r="F269" t="s">
        <v>35</v>
      </c>
      <c r="G269" t="s">
        <v>35</v>
      </c>
      <c r="H269" t="s">
        <v>35</v>
      </c>
      <c r="I269" t="s">
        <v>35</v>
      </c>
      <c r="J269" t="s">
        <v>35</v>
      </c>
      <c r="K269">
        <v>0.2089</v>
      </c>
      <c r="L269" t="s">
        <v>35</v>
      </c>
      <c r="M269">
        <v>3.1399999999999997E-2</v>
      </c>
      <c r="N269">
        <v>0.75929999999999997</v>
      </c>
      <c r="O269">
        <v>74</v>
      </c>
      <c r="P269">
        <v>0.66500000000000004</v>
      </c>
      <c r="Q269" t="s">
        <v>35</v>
      </c>
      <c r="R269" t="s">
        <v>35</v>
      </c>
      <c r="S269" t="s">
        <v>35</v>
      </c>
      <c r="T269" t="s">
        <v>35</v>
      </c>
      <c r="U269" t="s">
        <v>35</v>
      </c>
      <c r="V269">
        <v>1</v>
      </c>
      <c r="W269">
        <v>0.438</v>
      </c>
      <c r="X269">
        <v>0.46200000000000002</v>
      </c>
      <c r="Y269">
        <v>0.1</v>
      </c>
      <c r="Z269">
        <v>0</v>
      </c>
      <c r="AA269">
        <v>0</v>
      </c>
      <c r="AB269">
        <v>0.7</v>
      </c>
      <c r="AC269">
        <v>20</v>
      </c>
      <c r="AD269">
        <v>1200</v>
      </c>
      <c r="AE269">
        <v>10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f t="shared" si="12"/>
        <v>0.09</v>
      </c>
      <c r="AM269">
        <v>0.9</v>
      </c>
    </row>
    <row r="270" spans="1:39" x14ac:dyDescent="0.25">
      <c r="A270" s="6" t="s">
        <v>227</v>
      </c>
      <c r="B270" t="s">
        <v>280</v>
      </c>
      <c r="C270" t="s">
        <v>35</v>
      </c>
      <c r="D270" t="s">
        <v>35</v>
      </c>
      <c r="E270" t="s">
        <v>35</v>
      </c>
      <c r="F270" t="s">
        <v>35</v>
      </c>
      <c r="G270" t="s">
        <v>35</v>
      </c>
      <c r="H270" t="s">
        <v>35</v>
      </c>
      <c r="I270" t="s">
        <v>35</v>
      </c>
      <c r="J270" t="s">
        <v>35</v>
      </c>
      <c r="K270">
        <v>0.2089</v>
      </c>
      <c r="L270" t="s">
        <v>35</v>
      </c>
      <c r="M270">
        <v>3.1399999999999997E-2</v>
      </c>
      <c r="N270">
        <v>0.75929999999999997</v>
      </c>
      <c r="O270">
        <v>74</v>
      </c>
      <c r="P270">
        <v>0.66500000000000004</v>
      </c>
      <c r="Q270" t="s">
        <v>35</v>
      </c>
      <c r="R270" t="s">
        <v>35</v>
      </c>
      <c r="S270" t="s">
        <v>35</v>
      </c>
      <c r="T270" t="s">
        <v>35</v>
      </c>
      <c r="U270" t="s">
        <v>35</v>
      </c>
      <c r="V270">
        <v>1</v>
      </c>
      <c r="W270">
        <v>0.438</v>
      </c>
      <c r="X270">
        <v>0.46200000000000002</v>
      </c>
      <c r="Y270">
        <v>0.1</v>
      </c>
      <c r="Z270">
        <v>0</v>
      </c>
      <c r="AA270">
        <v>0</v>
      </c>
      <c r="AB270">
        <v>0.7</v>
      </c>
      <c r="AC270">
        <v>20</v>
      </c>
      <c r="AD270">
        <v>1200</v>
      </c>
      <c r="AE270">
        <v>20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f t="shared" si="12"/>
        <v>0.09</v>
      </c>
      <c r="AM270">
        <v>0.94</v>
      </c>
    </row>
    <row r="271" spans="1:39" x14ac:dyDescent="0.25">
      <c r="A271" s="6" t="s">
        <v>227</v>
      </c>
      <c r="B271" t="s">
        <v>281</v>
      </c>
      <c r="C271" t="s">
        <v>35</v>
      </c>
      <c r="D271" t="s">
        <v>35</v>
      </c>
      <c r="E271" t="s">
        <v>35</v>
      </c>
      <c r="F271" t="s">
        <v>35</v>
      </c>
      <c r="G271" t="s">
        <v>35</v>
      </c>
      <c r="H271" t="s">
        <v>35</v>
      </c>
      <c r="I271" t="s">
        <v>35</v>
      </c>
      <c r="J271" t="s">
        <v>35</v>
      </c>
      <c r="K271">
        <v>0.2089</v>
      </c>
      <c r="L271" t="s">
        <v>35</v>
      </c>
      <c r="M271">
        <v>3.1399999999999997E-2</v>
      </c>
      <c r="N271">
        <v>0.75929999999999997</v>
      </c>
      <c r="O271">
        <v>74</v>
      </c>
      <c r="P271">
        <v>0.66500000000000004</v>
      </c>
      <c r="Q271" t="s">
        <v>35</v>
      </c>
      <c r="R271" t="s">
        <v>35</v>
      </c>
      <c r="S271" t="s">
        <v>35</v>
      </c>
      <c r="T271" t="s">
        <v>35</v>
      </c>
      <c r="U271" t="s">
        <v>35</v>
      </c>
      <c r="V271">
        <v>1</v>
      </c>
      <c r="W271">
        <v>0.438</v>
      </c>
      <c r="X271">
        <v>0.46200000000000002</v>
      </c>
      <c r="Y271">
        <v>0.1</v>
      </c>
      <c r="Z271">
        <v>0</v>
      </c>
      <c r="AA271">
        <v>0</v>
      </c>
      <c r="AB271">
        <v>0.7</v>
      </c>
      <c r="AC271">
        <v>20</v>
      </c>
      <c r="AD271">
        <v>1200</v>
      </c>
      <c r="AE271">
        <v>40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f t="shared" si="12"/>
        <v>0.09</v>
      </c>
      <c r="AM271">
        <v>0.45</v>
      </c>
    </row>
    <row r="272" spans="1:39" x14ac:dyDescent="0.25">
      <c r="A272" s="6" t="s">
        <v>227</v>
      </c>
      <c r="B272" t="s">
        <v>282</v>
      </c>
      <c r="C272" t="s">
        <v>35</v>
      </c>
      <c r="D272" t="s">
        <v>35</v>
      </c>
      <c r="E272" t="s">
        <v>35</v>
      </c>
      <c r="F272" t="s">
        <v>35</v>
      </c>
      <c r="G272" t="s">
        <v>35</v>
      </c>
      <c r="H272" t="s">
        <v>35</v>
      </c>
      <c r="I272" t="s">
        <v>35</v>
      </c>
      <c r="J272" t="s">
        <v>35</v>
      </c>
      <c r="K272">
        <v>0.2089</v>
      </c>
      <c r="L272" t="s">
        <v>35</v>
      </c>
      <c r="M272">
        <v>3.1399999999999997E-2</v>
      </c>
      <c r="N272">
        <v>0.75929999999999997</v>
      </c>
      <c r="O272">
        <v>74</v>
      </c>
      <c r="P272">
        <v>0.66500000000000004</v>
      </c>
      <c r="Q272" t="s">
        <v>35</v>
      </c>
      <c r="R272" t="s">
        <v>35</v>
      </c>
      <c r="S272" t="s">
        <v>35</v>
      </c>
      <c r="T272" t="s">
        <v>35</v>
      </c>
      <c r="U272" t="s">
        <v>35</v>
      </c>
      <c r="V272">
        <v>1</v>
      </c>
      <c r="W272">
        <v>0.438</v>
      </c>
      <c r="X272">
        <v>0.46200000000000002</v>
      </c>
      <c r="Y272">
        <v>0.1</v>
      </c>
      <c r="Z272">
        <v>0</v>
      </c>
      <c r="AA272">
        <v>0</v>
      </c>
      <c r="AB272">
        <v>0.7</v>
      </c>
      <c r="AC272">
        <v>20</v>
      </c>
      <c r="AD272">
        <v>1200</v>
      </c>
      <c r="AE272">
        <v>60</v>
      </c>
      <c r="AF272">
        <v>1</v>
      </c>
      <c r="AG272">
        <v>0</v>
      </c>
      <c r="AH272">
        <v>0</v>
      </c>
      <c r="AI272">
        <v>0</v>
      </c>
      <c r="AJ272">
        <v>0</v>
      </c>
      <c r="AK272">
        <v>1</v>
      </c>
      <c r="AL272">
        <f t="shared" si="12"/>
        <v>0.09</v>
      </c>
      <c r="AM272">
        <v>0.34</v>
      </c>
    </row>
    <row r="273" spans="1:39" x14ac:dyDescent="0.25">
      <c r="A273" s="6" t="s">
        <v>227</v>
      </c>
      <c r="B273" t="s">
        <v>283</v>
      </c>
      <c r="C273" t="s">
        <v>35</v>
      </c>
      <c r="D273" t="s">
        <v>35</v>
      </c>
      <c r="E273" t="s">
        <v>35</v>
      </c>
      <c r="F273" t="s">
        <v>35</v>
      </c>
      <c r="G273" t="s">
        <v>35</v>
      </c>
      <c r="H273" t="s">
        <v>35</v>
      </c>
      <c r="I273" t="s">
        <v>35</v>
      </c>
      <c r="J273" t="s">
        <v>35</v>
      </c>
      <c r="K273">
        <v>0.879</v>
      </c>
      <c r="L273" t="s">
        <v>35</v>
      </c>
      <c r="M273">
        <v>2.0500000000000001E-2</v>
      </c>
      <c r="N273">
        <v>0.10050000000000001</v>
      </c>
      <c r="O273">
        <v>74</v>
      </c>
      <c r="P273">
        <v>0.66500000000000004</v>
      </c>
      <c r="Q273" t="s">
        <v>35</v>
      </c>
      <c r="R273" t="s">
        <v>35</v>
      </c>
      <c r="S273" t="s">
        <v>35</v>
      </c>
      <c r="T273" t="s">
        <v>35</v>
      </c>
      <c r="U273" t="s">
        <v>35</v>
      </c>
      <c r="V273">
        <v>1</v>
      </c>
      <c r="W273">
        <v>0.1656</v>
      </c>
      <c r="X273">
        <v>0.73440000000000005</v>
      </c>
      <c r="Y273">
        <v>0.1</v>
      </c>
      <c r="Z273">
        <v>0</v>
      </c>
      <c r="AA273">
        <v>0</v>
      </c>
      <c r="AB273">
        <v>0.7</v>
      </c>
      <c r="AC273">
        <v>20</v>
      </c>
      <c r="AD273">
        <v>1200</v>
      </c>
      <c r="AE273">
        <v>10</v>
      </c>
      <c r="AF273">
        <v>1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f t="shared" si="12"/>
        <v>0.09</v>
      </c>
      <c r="AM273">
        <v>0.86</v>
      </c>
    </row>
    <row r="274" spans="1:39" x14ac:dyDescent="0.25">
      <c r="A274" s="6" t="s">
        <v>227</v>
      </c>
      <c r="B274" t="s">
        <v>284</v>
      </c>
      <c r="C274" t="s">
        <v>35</v>
      </c>
      <c r="D274" t="s">
        <v>35</v>
      </c>
      <c r="E274" t="s">
        <v>35</v>
      </c>
      <c r="F274" t="s">
        <v>35</v>
      </c>
      <c r="G274" t="s">
        <v>35</v>
      </c>
      <c r="H274" t="s">
        <v>35</v>
      </c>
      <c r="I274" t="s">
        <v>35</v>
      </c>
      <c r="J274" t="s">
        <v>35</v>
      </c>
      <c r="K274">
        <v>0.879</v>
      </c>
      <c r="L274" t="s">
        <v>35</v>
      </c>
      <c r="M274">
        <v>2.0500000000000001E-2</v>
      </c>
      <c r="N274">
        <v>0.10050000000000001</v>
      </c>
      <c r="O274">
        <v>74</v>
      </c>
      <c r="P274">
        <v>0.66500000000000004</v>
      </c>
      <c r="Q274" t="s">
        <v>35</v>
      </c>
      <c r="R274" t="s">
        <v>35</v>
      </c>
      <c r="S274" t="s">
        <v>35</v>
      </c>
      <c r="T274" t="s">
        <v>35</v>
      </c>
      <c r="U274" t="s">
        <v>35</v>
      </c>
      <c r="V274">
        <v>1</v>
      </c>
      <c r="W274">
        <v>0.1656</v>
      </c>
      <c r="X274">
        <v>0.73440000000000005</v>
      </c>
      <c r="Y274">
        <v>0.1</v>
      </c>
      <c r="Z274">
        <v>0</v>
      </c>
      <c r="AA274">
        <v>0</v>
      </c>
      <c r="AB274">
        <v>0.7</v>
      </c>
      <c r="AC274">
        <v>20</v>
      </c>
      <c r="AD274">
        <v>1200</v>
      </c>
      <c r="AE274">
        <v>20</v>
      </c>
      <c r="AF274">
        <v>1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f t="shared" si="12"/>
        <v>0.09</v>
      </c>
      <c r="AM274">
        <v>0.9</v>
      </c>
    </row>
    <row r="275" spans="1:39" x14ac:dyDescent="0.25">
      <c r="A275" s="6" t="s">
        <v>227</v>
      </c>
      <c r="B275" t="s">
        <v>285</v>
      </c>
      <c r="C275" t="s">
        <v>35</v>
      </c>
      <c r="D275" t="s">
        <v>35</v>
      </c>
      <c r="E275" t="s">
        <v>35</v>
      </c>
      <c r="F275" t="s">
        <v>35</v>
      </c>
      <c r="G275" t="s">
        <v>35</v>
      </c>
      <c r="H275" t="s">
        <v>35</v>
      </c>
      <c r="I275" t="s">
        <v>35</v>
      </c>
      <c r="J275" t="s">
        <v>35</v>
      </c>
      <c r="K275">
        <v>0.879</v>
      </c>
      <c r="L275" t="s">
        <v>35</v>
      </c>
      <c r="M275">
        <v>2.0500000000000001E-2</v>
      </c>
      <c r="N275">
        <v>0.10050000000000001</v>
      </c>
      <c r="O275">
        <v>74</v>
      </c>
      <c r="P275">
        <v>0.66500000000000004</v>
      </c>
      <c r="Q275" t="s">
        <v>35</v>
      </c>
      <c r="R275" t="s">
        <v>35</v>
      </c>
      <c r="S275" t="s">
        <v>35</v>
      </c>
      <c r="T275" t="s">
        <v>35</v>
      </c>
      <c r="U275" t="s">
        <v>35</v>
      </c>
      <c r="V275">
        <v>1</v>
      </c>
      <c r="W275">
        <v>0.1656</v>
      </c>
      <c r="X275">
        <v>0.73440000000000005</v>
      </c>
      <c r="Y275">
        <v>0.1</v>
      </c>
      <c r="Z275">
        <v>0</v>
      </c>
      <c r="AA275">
        <v>0</v>
      </c>
      <c r="AB275">
        <v>0.7</v>
      </c>
      <c r="AC275">
        <v>20</v>
      </c>
      <c r="AD275">
        <v>1200</v>
      </c>
      <c r="AE275">
        <v>40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1</v>
      </c>
      <c r="AL275">
        <f t="shared" si="12"/>
        <v>0.09</v>
      </c>
      <c r="AM275">
        <v>0.36</v>
      </c>
    </row>
    <row r="276" spans="1:39" x14ac:dyDescent="0.25">
      <c r="A276" s="6" t="s">
        <v>227</v>
      </c>
      <c r="B276" t="s">
        <v>286</v>
      </c>
      <c r="C276" t="s">
        <v>35</v>
      </c>
      <c r="D276" t="s">
        <v>35</v>
      </c>
      <c r="E276" t="s">
        <v>35</v>
      </c>
      <c r="F276" t="s">
        <v>35</v>
      </c>
      <c r="G276" t="s">
        <v>35</v>
      </c>
      <c r="H276" t="s">
        <v>35</v>
      </c>
      <c r="I276" t="s">
        <v>35</v>
      </c>
      <c r="J276" t="s">
        <v>35</v>
      </c>
      <c r="K276">
        <v>0.879</v>
      </c>
      <c r="L276" t="s">
        <v>35</v>
      </c>
      <c r="M276">
        <v>2.0500000000000001E-2</v>
      </c>
      <c r="N276">
        <v>0.10050000000000001</v>
      </c>
      <c r="O276">
        <v>74</v>
      </c>
      <c r="P276">
        <v>0.66500000000000004</v>
      </c>
      <c r="Q276" t="s">
        <v>35</v>
      </c>
      <c r="R276" t="s">
        <v>35</v>
      </c>
      <c r="S276" t="s">
        <v>35</v>
      </c>
      <c r="T276" t="s">
        <v>35</v>
      </c>
      <c r="U276" t="s">
        <v>35</v>
      </c>
      <c r="V276">
        <v>1</v>
      </c>
      <c r="W276">
        <v>0.1656</v>
      </c>
      <c r="X276">
        <v>0.73440000000000005</v>
      </c>
      <c r="Y276">
        <v>0.1</v>
      </c>
      <c r="Z276">
        <v>0</v>
      </c>
      <c r="AA276">
        <v>0</v>
      </c>
      <c r="AB276">
        <v>0.7</v>
      </c>
      <c r="AC276">
        <v>20</v>
      </c>
      <c r="AD276">
        <v>1200</v>
      </c>
      <c r="AE276">
        <v>60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f t="shared" si="12"/>
        <v>0.09</v>
      </c>
      <c r="AM276">
        <v>0.23</v>
      </c>
    </row>
    <row r="277" spans="1:39" x14ac:dyDescent="0.25">
      <c r="A277" s="6" t="s">
        <v>227</v>
      </c>
      <c r="B277" t="s">
        <v>287</v>
      </c>
      <c r="C277" t="s">
        <v>35</v>
      </c>
      <c r="D277" t="s">
        <v>35</v>
      </c>
      <c r="E277" t="s">
        <v>35</v>
      </c>
      <c r="F277" t="s">
        <v>35</v>
      </c>
      <c r="G277" t="s">
        <v>35</v>
      </c>
      <c r="H277" t="s">
        <v>35</v>
      </c>
      <c r="I277" t="s">
        <v>35</v>
      </c>
      <c r="J277" t="s">
        <v>35</v>
      </c>
      <c r="K277">
        <v>0.61450000000000005</v>
      </c>
      <c r="L277" t="s">
        <v>35</v>
      </c>
      <c r="M277">
        <v>0.16520000000000001</v>
      </c>
      <c r="N277">
        <v>0.21820000000000001</v>
      </c>
      <c r="O277">
        <v>74</v>
      </c>
      <c r="P277">
        <v>0.66500000000000004</v>
      </c>
      <c r="Q277" t="s">
        <v>35</v>
      </c>
      <c r="R277" t="s">
        <v>35</v>
      </c>
      <c r="S277" t="s">
        <v>35</v>
      </c>
      <c r="T277" t="s">
        <v>35</v>
      </c>
      <c r="U277" t="s">
        <v>35</v>
      </c>
      <c r="V277">
        <v>1</v>
      </c>
      <c r="W277">
        <v>0.2195</v>
      </c>
      <c r="X277">
        <v>0.68049999999999999</v>
      </c>
      <c r="Y277">
        <v>0.1</v>
      </c>
      <c r="Z277">
        <v>0</v>
      </c>
      <c r="AA277">
        <v>0</v>
      </c>
      <c r="AB277">
        <v>0.7</v>
      </c>
      <c r="AC277">
        <v>20</v>
      </c>
      <c r="AD277">
        <v>1200</v>
      </c>
      <c r="AE277">
        <v>10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f t="shared" si="12"/>
        <v>0.09</v>
      </c>
      <c r="AM277">
        <v>0.83</v>
      </c>
    </row>
    <row r="278" spans="1:39" x14ac:dyDescent="0.25">
      <c r="A278" s="6" t="s">
        <v>227</v>
      </c>
      <c r="B278" t="s">
        <v>288</v>
      </c>
      <c r="C278" t="s">
        <v>35</v>
      </c>
      <c r="D278" t="s">
        <v>35</v>
      </c>
      <c r="E278" t="s">
        <v>35</v>
      </c>
      <c r="F278" t="s">
        <v>35</v>
      </c>
      <c r="G278" t="s">
        <v>35</v>
      </c>
      <c r="H278" t="s">
        <v>35</v>
      </c>
      <c r="I278" t="s">
        <v>35</v>
      </c>
      <c r="J278" t="s">
        <v>35</v>
      </c>
      <c r="K278">
        <v>0.61450000000000005</v>
      </c>
      <c r="L278" t="s">
        <v>35</v>
      </c>
      <c r="M278">
        <v>0.16520000000000001</v>
      </c>
      <c r="N278">
        <v>0.21820000000000001</v>
      </c>
      <c r="O278">
        <v>74</v>
      </c>
      <c r="P278">
        <v>0.66500000000000004</v>
      </c>
      <c r="Q278" t="s">
        <v>35</v>
      </c>
      <c r="R278" t="s">
        <v>35</v>
      </c>
      <c r="S278" t="s">
        <v>35</v>
      </c>
      <c r="T278" t="s">
        <v>35</v>
      </c>
      <c r="U278" t="s">
        <v>35</v>
      </c>
      <c r="V278">
        <v>1</v>
      </c>
      <c r="W278">
        <v>0.2195</v>
      </c>
      <c r="X278">
        <v>0.68049999999999999</v>
      </c>
      <c r="Y278">
        <v>0.1</v>
      </c>
      <c r="Z278">
        <v>0</v>
      </c>
      <c r="AA278">
        <v>0</v>
      </c>
      <c r="AB278">
        <v>0.7</v>
      </c>
      <c r="AC278">
        <v>20</v>
      </c>
      <c r="AD278">
        <v>1200</v>
      </c>
      <c r="AE278">
        <v>20</v>
      </c>
      <c r="AF278">
        <v>1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f t="shared" si="12"/>
        <v>0.09</v>
      </c>
      <c r="AM278">
        <v>0.87</v>
      </c>
    </row>
    <row r="279" spans="1:39" x14ac:dyDescent="0.25">
      <c r="A279" s="6" t="s">
        <v>227</v>
      </c>
      <c r="B279" t="s">
        <v>289</v>
      </c>
      <c r="C279" t="s">
        <v>35</v>
      </c>
      <c r="D279" t="s">
        <v>35</v>
      </c>
      <c r="E279" t="s">
        <v>35</v>
      </c>
      <c r="F279" t="s">
        <v>35</v>
      </c>
      <c r="G279" t="s">
        <v>35</v>
      </c>
      <c r="H279" t="s">
        <v>35</v>
      </c>
      <c r="I279" t="s">
        <v>35</v>
      </c>
      <c r="J279" t="s">
        <v>35</v>
      </c>
      <c r="K279">
        <v>0.61450000000000005</v>
      </c>
      <c r="L279" t="s">
        <v>35</v>
      </c>
      <c r="M279">
        <v>0.16520000000000001</v>
      </c>
      <c r="N279">
        <v>0.21820000000000001</v>
      </c>
      <c r="O279">
        <v>74</v>
      </c>
      <c r="P279">
        <v>0.66500000000000004</v>
      </c>
      <c r="Q279" t="s">
        <v>35</v>
      </c>
      <c r="R279" t="s">
        <v>35</v>
      </c>
      <c r="S279" t="s">
        <v>35</v>
      </c>
      <c r="T279" t="s">
        <v>35</v>
      </c>
      <c r="U279" t="s">
        <v>35</v>
      </c>
      <c r="V279">
        <v>1</v>
      </c>
      <c r="W279">
        <v>0.2195</v>
      </c>
      <c r="X279">
        <v>0.68049999999999999</v>
      </c>
      <c r="Y279">
        <v>0.1</v>
      </c>
      <c r="Z279">
        <v>0</v>
      </c>
      <c r="AA279">
        <v>0</v>
      </c>
      <c r="AB279">
        <v>0.7</v>
      </c>
      <c r="AC279">
        <v>20</v>
      </c>
      <c r="AD279">
        <v>1200</v>
      </c>
      <c r="AE279">
        <v>40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f t="shared" si="12"/>
        <v>0.09</v>
      </c>
      <c r="AM279">
        <v>0.33</v>
      </c>
    </row>
    <row r="280" spans="1:39" x14ac:dyDescent="0.25">
      <c r="A280" s="6" t="s">
        <v>227</v>
      </c>
      <c r="B280" t="s">
        <v>290</v>
      </c>
      <c r="C280" t="s">
        <v>35</v>
      </c>
      <c r="D280" t="s">
        <v>35</v>
      </c>
      <c r="E280" t="s">
        <v>35</v>
      </c>
      <c r="F280" t="s">
        <v>35</v>
      </c>
      <c r="G280" t="s">
        <v>35</v>
      </c>
      <c r="H280" t="s">
        <v>35</v>
      </c>
      <c r="I280" t="s">
        <v>35</v>
      </c>
      <c r="J280" t="s">
        <v>35</v>
      </c>
      <c r="K280">
        <v>0.61450000000000005</v>
      </c>
      <c r="L280" t="s">
        <v>35</v>
      </c>
      <c r="M280">
        <v>0.16520000000000001</v>
      </c>
      <c r="N280">
        <v>0.21820000000000001</v>
      </c>
      <c r="O280">
        <v>74</v>
      </c>
      <c r="P280">
        <v>0.66500000000000004</v>
      </c>
      <c r="Q280" t="s">
        <v>35</v>
      </c>
      <c r="R280" t="s">
        <v>35</v>
      </c>
      <c r="S280" t="s">
        <v>35</v>
      </c>
      <c r="T280" t="s">
        <v>35</v>
      </c>
      <c r="U280" t="s">
        <v>35</v>
      </c>
      <c r="V280">
        <v>1</v>
      </c>
      <c r="W280">
        <v>0.2195</v>
      </c>
      <c r="X280">
        <v>0.68049999999999999</v>
      </c>
      <c r="Y280">
        <v>0.1</v>
      </c>
      <c r="Z280">
        <v>0</v>
      </c>
      <c r="AA280">
        <v>0</v>
      </c>
      <c r="AB280">
        <v>0.7</v>
      </c>
      <c r="AC280">
        <v>20</v>
      </c>
      <c r="AD280">
        <v>1200</v>
      </c>
      <c r="AE280">
        <v>60</v>
      </c>
      <c r="AF280">
        <v>1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f t="shared" si="12"/>
        <v>0.09</v>
      </c>
      <c r="AM280">
        <v>0.24</v>
      </c>
    </row>
    <row r="281" spans="1:39" x14ac:dyDescent="0.25">
      <c r="A281" s="6" t="s">
        <v>227</v>
      </c>
      <c r="B281" t="s">
        <v>291</v>
      </c>
      <c r="C281" t="s">
        <v>35</v>
      </c>
      <c r="D281" t="s">
        <v>35</v>
      </c>
      <c r="E281" t="s">
        <v>35</v>
      </c>
      <c r="F281" t="s">
        <v>35</v>
      </c>
      <c r="G281" t="s">
        <v>35</v>
      </c>
      <c r="H281" t="s">
        <v>35</v>
      </c>
      <c r="I281" t="s">
        <v>35</v>
      </c>
      <c r="J281" t="s">
        <v>35</v>
      </c>
      <c r="K281">
        <v>0.2089</v>
      </c>
      <c r="L281" t="s">
        <v>35</v>
      </c>
      <c r="M281">
        <v>3.1399999999999997E-2</v>
      </c>
      <c r="N281">
        <v>0.75929999999999997</v>
      </c>
      <c r="O281">
        <v>74</v>
      </c>
      <c r="P281">
        <v>0.66500000000000004</v>
      </c>
      <c r="Q281" t="s">
        <v>35</v>
      </c>
      <c r="R281" t="s">
        <v>35</v>
      </c>
      <c r="S281" t="s">
        <v>35</v>
      </c>
      <c r="T281" t="s">
        <v>35</v>
      </c>
      <c r="U281" t="s">
        <v>35</v>
      </c>
      <c r="V281">
        <v>1</v>
      </c>
      <c r="W281">
        <v>0.36330000000000001</v>
      </c>
      <c r="X281">
        <v>0.53669999999999995</v>
      </c>
      <c r="Y281">
        <v>0.1</v>
      </c>
      <c r="Z281">
        <v>0</v>
      </c>
      <c r="AA281">
        <v>0</v>
      </c>
      <c r="AB281">
        <v>0.5</v>
      </c>
      <c r="AC281">
        <v>20</v>
      </c>
      <c r="AD281">
        <v>1000</v>
      </c>
      <c r="AE281">
        <v>20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f t="shared" si="12"/>
        <v>0.09</v>
      </c>
      <c r="AM281">
        <v>0.22500000000000001</v>
      </c>
    </row>
    <row r="282" spans="1:39" x14ac:dyDescent="0.25">
      <c r="A282" s="6" t="s">
        <v>227</v>
      </c>
      <c r="B282" t="s">
        <v>292</v>
      </c>
      <c r="C282" t="s">
        <v>35</v>
      </c>
      <c r="D282" t="s">
        <v>35</v>
      </c>
      <c r="E282" t="s">
        <v>35</v>
      </c>
      <c r="F282" t="s">
        <v>35</v>
      </c>
      <c r="G282" t="s">
        <v>35</v>
      </c>
      <c r="H282" t="s">
        <v>35</v>
      </c>
      <c r="I282" t="s">
        <v>35</v>
      </c>
      <c r="J282" t="s">
        <v>35</v>
      </c>
      <c r="K282">
        <v>0.2089</v>
      </c>
      <c r="L282" t="s">
        <v>35</v>
      </c>
      <c r="M282">
        <v>3.1399999999999997E-2</v>
      </c>
      <c r="N282">
        <v>0.75929999999999997</v>
      </c>
      <c r="O282">
        <v>74</v>
      </c>
      <c r="P282">
        <v>0.66500000000000004</v>
      </c>
      <c r="Q282" t="s">
        <v>35</v>
      </c>
      <c r="R282" t="s">
        <v>35</v>
      </c>
      <c r="S282" t="s">
        <v>35</v>
      </c>
      <c r="T282" t="s">
        <v>35</v>
      </c>
      <c r="U282" t="s">
        <v>35</v>
      </c>
      <c r="V282">
        <v>1</v>
      </c>
      <c r="W282">
        <v>0.49440000000000001</v>
      </c>
      <c r="X282">
        <v>0.40560000000000002</v>
      </c>
      <c r="Y282">
        <v>0.1</v>
      </c>
      <c r="Z282">
        <v>0</v>
      </c>
      <c r="AA282">
        <v>0</v>
      </c>
      <c r="AB282">
        <v>0.9</v>
      </c>
      <c r="AC282">
        <v>20</v>
      </c>
      <c r="AD282">
        <v>1000</v>
      </c>
      <c r="AE282">
        <v>20</v>
      </c>
      <c r="AF282">
        <v>1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f t="shared" ref="AL282:AL322" si="13">1.5*60/1000</f>
        <v>0.09</v>
      </c>
      <c r="AM282">
        <v>0.33</v>
      </c>
    </row>
    <row r="283" spans="1:39" x14ac:dyDescent="0.25">
      <c r="A283" s="6" t="s">
        <v>227</v>
      </c>
      <c r="B283" t="s">
        <v>293</v>
      </c>
      <c r="C283" t="s">
        <v>35</v>
      </c>
      <c r="D283" t="s">
        <v>35</v>
      </c>
      <c r="E283" t="s">
        <v>35</v>
      </c>
      <c r="F283" t="s">
        <v>35</v>
      </c>
      <c r="G283" t="s">
        <v>35</v>
      </c>
      <c r="H283" t="s">
        <v>35</v>
      </c>
      <c r="I283" t="s">
        <v>35</v>
      </c>
      <c r="J283" t="s">
        <v>35</v>
      </c>
      <c r="K283">
        <v>0.2089</v>
      </c>
      <c r="L283" t="s">
        <v>35</v>
      </c>
      <c r="M283">
        <v>3.1399999999999997E-2</v>
      </c>
      <c r="N283">
        <v>0.75929999999999997</v>
      </c>
      <c r="O283">
        <v>74</v>
      </c>
      <c r="P283">
        <v>0.66500000000000004</v>
      </c>
      <c r="Q283" t="s">
        <v>35</v>
      </c>
      <c r="R283" t="s">
        <v>35</v>
      </c>
      <c r="S283" t="s">
        <v>35</v>
      </c>
      <c r="T283" t="s">
        <v>35</v>
      </c>
      <c r="U283" t="s">
        <v>35</v>
      </c>
      <c r="V283">
        <v>1</v>
      </c>
      <c r="W283">
        <v>0.53849999999999998</v>
      </c>
      <c r="X283">
        <v>0.36149999999999999</v>
      </c>
      <c r="Y283">
        <v>0.1</v>
      </c>
      <c r="Z283">
        <v>0</v>
      </c>
      <c r="AA283">
        <v>0</v>
      </c>
      <c r="AB283">
        <v>1.1000000000000001</v>
      </c>
      <c r="AC283">
        <v>20</v>
      </c>
      <c r="AD283">
        <v>1000</v>
      </c>
      <c r="AE283">
        <v>20</v>
      </c>
      <c r="AF283">
        <v>1</v>
      </c>
      <c r="AG283">
        <v>0</v>
      </c>
      <c r="AH283">
        <v>0</v>
      </c>
      <c r="AI283">
        <v>0</v>
      </c>
      <c r="AJ283">
        <v>0</v>
      </c>
      <c r="AK283">
        <v>1</v>
      </c>
      <c r="AL283">
        <f t="shared" si="13"/>
        <v>0.09</v>
      </c>
      <c r="AM283">
        <v>0.33</v>
      </c>
    </row>
    <row r="284" spans="1:39" x14ac:dyDescent="0.25">
      <c r="A284" s="6" t="s">
        <v>227</v>
      </c>
      <c r="B284" t="s">
        <v>294</v>
      </c>
      <c r="C284" t="s">
        <v>35</v>
      </c>
      <c r="D284" t="s">
        <v>35</v>
      </c>
      <c r="E284" t="s">
        <v>35</v>
      </c>
      <c r="F284" t="s">
        <v>35</v>
      </c>
      <c r="G284" t="s">
        <v>35</v>
      </c>
      <c r="H284" t="s">
        <v>35</v>
      </c>
      <c r="I284" t="s">
        <v>35</v>
      </c>
      <c r="J284" t="s">
        <v>35</v>
      </c>
      <c r="K284">
        <v>0.879</v>
      </c>
      <c r="L284" t="s">
        <v>35</v>
      </c>
      <c r="M284">
        <v>2.0500000000000001E-2</v>
      </c>
      <c r="N284">
        <v>0.10050000000000001</v>
      </c>
      <c r="O284">
        <v>74</v>
      </c>
      <c r="P284">
        <v>0.66500000000000004</v>
      </c>
      <c r="Q284" t="s">
        <v>35</v>
      </c>
      <c r="R284" t="s">
        <v>35</v>
      </c>
      <c r="S284" t="s">
        <v>35</v>
      </c>
      <c r="T284" t="s">
        <v>35</v>
      </c>
      <c r="U284" t="s">
        <v>35</v>
      </c>
      <c r="V284">
        <v>1</v>
      </c>
      <c r="W284">
        <v>0.12479999999999999</v>
      </c>
      <c r="X284">
        <v>0.7752</v>
      </c>
      <c r="Y284">
        <v>0.1</v>
      </c>
      <c r="Z284">
        <v>0</v>
      </c>
      <c r="AA284">
        <v>0</v>
      </c>
      <c r="AB284">
        <v>0.5</v>
      </c>
      <c r="AC284">
        <v>20</v>
      </c>
      <c r="AD284">
        <v>1000</v>
      </c>
      <c r="AE284">
        <v>20</v>
      </c>
      <c r="AF284">
        <v>1</v>
      </c>
      <c r="AG284">
        <v>0</v>
      </c>
      <c r="AH284">
        <v>0</v>
      </c>
      <c r="AI284">
        <v>0</v>
      </c>
      <c r="AJ284">
        <v>0</v>
      </c>
      <c r="AK284">
        <v>1</v>
      </c>
      <c r="AL284">
        <f t="shared" si="13"/>
        <v>0.09</v>
      </c>
      <c r="AM284">
        <v>0.17</v>
      </c>
    </row>
    <row r="285" spans="1:39" x14ac:dyDescent="0.25">
      <c r="A285" s="6" t="s">
        <v>227</v>
      </c>
      <c r="B285" t="s">
        <v>295</v>
      </c>
      <c r="C285" t="s">
        <v>35</v>
      </c>
      <c r="D285" t="s">
        <v>35</v>
      </c>
      <c r="E285" t="s">
        <v>35</v>
      </c>
      <c r="F285" t="s">
        <v>35</v>
      </c>
      <c r="G285" t="s">
        <v>35</v>
      </c>
      <c r="H285" t="s">
        <v>35</v>
      </c>
      <c r="I285" t="s">
        <v>35</v>
      </c>
      <c r="J285" t="s">
        <v>35</v>
      </c>
      <c r="K285">
        <v>0.879</v>
      </c>
      <c r="L285" t="s">
        <v>35</v>
      </c>
      <c r="M285">
        <v>2.0500000000000001E-2</v>
      </c>
      <c r="N285">
        <v>0.10050000000000001</v>
      </c>
      <c r="O285">
        <v>74</v>
      </c>
      <c r="P285">
        <v>0.66500000000000004</v>
      </c>
      <c r="Q285" t="s">
        <v>35</v>
      </c>
      <c r="R285" t="s">
        <v>35</v>
      </c>
      <c r="S285" t="s">
        <v>35</v>
      </c>
      <c r="T285" t="s">
        <v>35</v>
      </c>
      <c r="U285" t="s">
        <v>35</v>
      </c>
      <c r="V285">
        <v>1</v>
      </c>
      <c r="W285">
        <v>0.2021</v>
      </c>
      <c r="X285">
        <v>0.69789999999999996</v>
      </c>
      <c r="Y285">
        <v>0.1</v>
      </c>
      <c r="Z285">
        <v>0</v>
      </c>
      <c r="AA285">
        <v>0</v>
      </c>
      <c r="AB285">
        <v>0.9</v>
      </c>
      <c r="AC285">
        <v>20</v>
      </c>
      <c r="AD285">
        <v>1000</v>
      </c>
      <c r="AE285">
        <v>20</v>
      </c>
      <c r="AF285">
        <v>1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f t="shared" si="13"/>
        <v>0.09</v>
      </c>
      <c r="AM285">
        <v>0.23</v>
      </c>
    </row>
    <row r="286" spans="1:39" x14ac:dyDescent="0.25">
      <c r="A286" s="6" t="s">
        <v>227</v>
      </c>
      <c r="B286" t="s">
        <v>296</v>
      </c>
      <c r="C286" t="s">
        <v>35</v>
      </c>
      <c r="D286" t="s">
        <v>35</v>
      </c>
      <c r="E286" t="s">
        <v>35</v>
      </c>
      <c r="F286" t="s">
        <v>35</v>
      </c>
      <c r="G286" t="s">
        <v>35</v>
      </c>
      <c r="H286" t="s">
        <v>35</v>
      </c>
      <c r="I286" t="s">
        <v>35</v>
      </c>
      <c r="J286" t="s">
        <v>35</v>
      </c>
      <c r="K286">
        <v>0.879</v>
      </c>
      <c r="L286" t="s">
        <v>35</v>
      </c>
      <c r="M286">
        <v>2.0500000000000001E-2</v>
      </c>
      <c r="N286">
        <v>0.10050000000000001</v>
      </c>
      <c r="O286">
        <v>74</v>
      </c>
      <c r="P286">
        <v>0.66500000000000004</v>
      </c>
      <c r="Q286" t="s">
        <v>35</v>
      </c>
      <c r="R286" t="s">
        <v>35</v>
      </c>
      <c r="S286" t="s">
        <v>35</v>
      </c>
      <c r="T286" t="s">
        <v>35</v>
      </c>
      <c r="U286" t="s">
        <v>35</v>
      </c>
      <c r="V286">
        <v>1</v>
      </c>
      <c r="W286">
        <v>0.23530000000000001</v>
      </c>
      <c r="X286">
        <v>0.66469999999999996</v>
      </c>
      <c r="Y286">
        <v>0.1</v>
      </c>
      <c r="Z286">
        <v>0</v>
      </c>
      <c r="AA286">
        <v>0</v>
      </c>
      <c r="AB286">
        <v>1.1000000000000001</v>
      </c>
      <c r="AC286">
        <v>20</v>
      </c>
      <c r="AD286">
        <v>1000</v>
      </c>
      <c r="AE286">
        <v>20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f t="shared" si="13"/>
        <v>0.09</v>
      </c>
      <c r="AM286">
        <v>0.23</v>
      </c>
    </row>
    <row r="287" spans="1:39" x14ac:dyDescent="0.25">
      <c r="A287" s="6" t="s">
        <v>227</v>
      </c>
      <c r="B287" t="s">
        <v>297</v>
      </c>
      <c r="C287" t="s">
        <v>35</v>
      </c>
      <c r="D287" t="s">
        <v>35</v>
      </c>
      <c r="E287" t="s">
        <v>35</v>
      </c>
      <c r="F287" t="s">
        <v>35</v>
      </c>
      <c r="G287" t="s">
        <v>35</v>
      </c>
      <c r="H287" t="s">
        <v>35</v>
      </c>
      <c r="I287" t="s">
        <v>35</v>
      </c>
      <c r="J287" t="s">
        <v>35</v>
      </c>
      <c r="K287">
        <v>0.61450000000000005</v>
      </c>
      <c r="L287" t="s">
        <v>35</v>
      </c>
      <c r="M287">
        <v>0.16520000000000001</v>
      </c>
      <c r="N287">
        <v>0.21820000000000001</v>
      </c>
      <c r="O287">
        <v>74</v>
      </c>
      <c r="P287">
        <v>0.66500000000000004</v>
      </c>
      <c r="Q287" t="s">
        <v>35</v>
      </c>
      <c r="R287" t="s">
        <v>35</v>
      </c>
      <c r="S287" t="s">
        <v>35</v>
      </c>
      <c r="T287" t="s">
        <v>35</v>
      </c>
      <c r="U287" t="s">
        <v>35</v>
      </c>
      <c r="V287">
        <v>1</v>
      </c>
      <c r="W287">
        <v>0.16830000000000001</v>
      </c>
      <c r="X287">
        <v>0.73170000000000002</v>
      </c>
      <c r="Y287">
        <v>0.1</v>
      </c>
      <c r="Z287">
        <v>0</v>
      </c>
      <c r="AA287">
        <v>0</v>
      </c>
      <c r="AB287">
        <v>0.5</v>
      </c>
      <c r="AC287">
        <v>20</v>
      </c>
      <c r="AD287">
        <v>1000</v>
      </c>
      <c r="AE287">
        <v>20</v>
      </c>
      <c r="AF287">
        <v>1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f t="shared" si="13"/>
        <v>0.09</v>
      </c>
      <c r="AM287">
        <v>0.26500000000000001</v>
      </c>
    </row>
    <row r="288" spans="1:39" x14ac:dyDescent="0.25">
      <c r="A288" s="6" t="s">
        <v>227</v>
      </c>
      <c r="B288" t="s">
        <v>298</v>
      </c>
      <c r="C288" t="s">
        <v>35</v>
      </c>
      <c r="D288" t="s">
        <v>35</v>
      </c>
      <c r="E288" t="s">
        <v>35</v>
      </c>
      <c r="F288" t="s">
        <v>35</v>
      </c>
      <c r="G288" t="s">
        <v>35</v>
      </c>
      <c r="H288" t="s">
        <v>35</v>
      </c>
      <c r="I288" t="s">
        <v>35</v>
      </c>
      <c r="J288" t="s">
        <v>35</v>
      </c>
      <c r="K288">
        <v>0.61450000000000005</v>
      </c>
      <c r="L288" t="s">
        <v>35</v>
      </c>
      <c r="M288">
        <v>0.16520000000000001</v>
      </c>
      <c r="N288">
        <v>0.21820000000000001</v>
      </c>
      <c r="O288">
        <v>74</v>
      </c>
      <c r="P288">
        <v>0.66500000000000004</v>
      </c>
      <c r="Q288" t="s">
        <v>35</v>
      </c>
      <c r="R288" t="s">
        <v>35</v>
      </c>
      <c r="S288" t="s">
        <v>35</v>
      </c>
      <c r="T288" t="s">
        <v>35</v>
      </c>
      <c r="U288" t="s">
        <v>35</v>
      </c>
      <c r="V288">
        <v>1</v>
      </c>
      <c r="W288">
        <v>0.26369999999999999</v>
      </c>
      <c r="X288">
        <v>0.63629999999999998</v>
      </c>
      <c r="Y288">
        <v>0.1</v>
      </c>
      <c r="Z288">
        <v>0</v>
      </c>
      <c r="AA288">
        <v>0</v>
      </c>
      <c r="AB288">
        <v>0.9</v>
      </c>
      <c r="AC288">
        <v>20</v>
      </c>
      <c r="AD288">
        <v>1000</v>
      </c>
      <c r="AE288">
        <v>20</v>
      </c>
      <c r="AF288">
        <v>1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f t="shared" si="13"/>
        <v>0.09</v>
      </c>
      <c r="AM288">
        <v>0.35</v>
      </c>
    </row>
    <row r="289" spans="1:39" x14ac:dyDescent="0.25">
      <c r="A289" s="6" t="s">
        <v>227</v>
      </c>
      <c r="B289" t="s">
        <v>299</v>
      </c>
      <c r="C289" t="s">
        <v>35</v>
      </c>
      <c r="D289" t="s">
        <v>35</v>
      </c>
      <c r="E289" t="s">
        <v>35</v>
      </c>
      <c r="F289" t="s">
        <v>35</v>
      </c>
      <c r="G289" t="s">
        <v>35</v>
      </c>
      <c r="H289" t="s">
        <v>35</v>
      </c>
      <c r="I289" t="s">
        <v>35</v>
      </c>
      <c r="J289" t="s">
        <v>35</v>
      </c>
      <c r="K289">
        <v>0.61450000000000005</v>
      </c>
      <c r="L289" t="s">
        <v>35</v>
      </c>
      <c r="M289">
        <v>0.16520000000000001</v>
      </c>
      <c r="N289">
        <v>0.21820000000000001</v>
      </c>
      <c r="O289">
        <v>74</v>
      </c>
      <c r="P289">
        <v>0.66500000000000004</v>
      </c>
      <c r="Q289" t="s">
        <v>35</v>
      </c>
      <c r="R289" t="s">
        <v>35</v>
      </c>
      <c r="S289" t="s">
        <v>35</v>
      </c>
      <c r="T289" t="s">
        <v>35</v>
      </c>
      <c r="U289" t="s">
        <v>35</v>
      </c>
      <c r="V289">
        <v>1</v>
      </c>
      <c r="W289">
        <v>0.30259999999999998</v>
      </c>
      <c r="X289">
        <v>0.59740000000000004</v>
      </c>
      <c r="Y289">
        <v>0.1</v>
      </c>
      <c r="Z289">
        <v>0</v>
      </c>
      <c r="AA289">
        <v>0</v>
      </c>
      <c r="AB289">
        <v>1.1000000000000001</v>
      </c>
      <c r="AC289">
        <v>20</v>
      </c>
      <c r="AD289">
        <v>1000</v>
      </c>
      <c r="AE289">
        <v>20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f t="shared" si="13"/>
        <v>0.09</v>
      </c>
      <c r="AM289">
        <v>0.35</v>
      </c>
    </row>
    <row r="290" spans="1:39" x14ac:dyDescent="0.25">
      <c r="A290" s="6" t="s">
        <v>227</v>
      </c>
      <c r="B290" t="s">
        <v>300</v>
      </c>
      <c r="C290" t="s">
        <v>35</v>
      </c>
      <c r="D290" t="s">
        <v>35</v>
      </c>
      <c r="E290" t="s">
        <v>35</v>
      </c>
      <c r="F290" t="s">
        <v>35</v>
      </c>
      <c r="G290" t="s">
        <v>35</v>
      </c>
      <c r="H290" t="s">
        <v>35</v>
      </c>
      <c r="I290" t="s">
        <v>35</v>
      </c>
      <c r="J290" t="s">
        <v>35</v>
      </c>
      <c r="K290">
        <v>0.2089</v>
      </c>
      <c r="L290" t="s">
        <v>35</v>
      </c>
      <c r="M290">
        <v>3.1399999999999997E-2</v>
      </c>
      <c r="N290">
        <v>0.75929999999999997</v>
      </c>
      <c r="O290">
        <v>74</v>
      </c>
      <c r="P290">
        <v>0.66500000000000004</v>
      </c>
      <c r="Q290" t="s">
        <v>35</v>
      </c>
      <c r="R290" t="s">
        <v>35</v>
      </c>
      <c r="S290" t="s">
        <v>35</v>
      </c>
      <c r="T290" t="s">
        <v>35</v>
      </c>
      <c r="U290" t="s">
        <v>35</v>
      </c>
      <c r="V290">
        <v>1</v>
      </c>
      <c r="W290">
        <v>0.36330000000000001</v>
      </c>
      <c r="X290">
        <v>0.53669999999999995</v>
      </c>
      <c r="Y290">
        <v>0.1</v>
      </c>
      <c r="Z290">
        <v>0</v>
      </c>
      <c r="AA290">
        <v>0</v>
      </c>
      <c r="AB290">
        <v>0.5</v>
      </c>
      <c r="AC290">
        <v>20</v>
      </c>
      <c r="AD290">
        <v>1200</v>
      </c>
      <c r="AE290">
        <v>20</v>
      </c>
      <c r="AF290">
        <v>1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f t="shared" si="13"/>
        <v>0.09</v>
      </c>
      <c r="AM290">
        <v>0.94</v>
      </c>
    </row>
    <row r="291" spans="1:39" x14ac:dyDescent="0.25">
      <c r="A291" s="6" t="s">
        <v>227</v>
      </c>
      <c r="B291" t="s">
        <v>301</v>
      </c>
      <c r="C291" t="s">
        <v>35</v>
      </c>
      <c r="D291" t="s">
        <v>35</v>
      </c>
      <c r="E291" t="s">
        <v>35</v>
      </c>
      <c r="F291" t="s">
        <v>35</v>
      </c>
      <c r="G291" t="s">
        <v>35</v>
      </c>
      <c r="H291" t="s">
        <v>35</v>
      </c>
      <c r="I291" t="s">
        <v>35</v>
      </c>
      <c r="J291" t="s">
        <v>35</v>
      </c>
      <c r="K291">
        <v>0.2089</v>
      </c>
      <c r="L291" t="s">
        <v>35</v>
      </c>
      <c r="M291">
        <v>3.1399999999999997E-2</v>
      </c>
      <c r="N291">
        <v>0.75929999999999997</v>
      </c>
      <c r="O291">
        <v>74</v>
      </c>
      <c r="P291">
        <v>0.66500000000000004</v>
      </c>
      <c r="Q291" t="s">
        <v>35</v>
      </c>
      <c r="R291" t="s">
        <v>35</v>
      </c>
      <c r="S291" t="s">
        <v>35</v>
      </c>
      <c r="T291" t="s">
        <v>35</v>
      </c>
      <c r="U291" t="s">
        <v>35</v>
      </c>
      <c r="V291">
        <v>1</v>
      </c>
      <c r="W291">
        <v>0.49440000000000001</v>
      </c>
      <c r="X291">
        <v>0.40560000000000002</v>
      </c>
      <c r="Y291">
        <v>0.1</v>
      </c>
      <c r="Z291">
        <v>0</v>
      </c>
      <c r="AA291">
        <v>0</v>
      </c>
      <c r="AB291">
        <v>0.9</v>
      </c>
      <c r="AC291">
        <v>20</v>
      </c>
      <c r="AD291">
        <v>1200</v>
      </c>
      <c r="AE291">
        <v>20</v>
      </c>
      <c r="AF291">
        <v>1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f t="shared" si="13"/>
        <v>0.09</v>
      </c>
      <c r="AM291">
        <v>0.94</v>
      </c>
    </row>
    <row r="292" spans="1:39" x14ac:dyDescent="0.25">
      <c r="A292" s="6" t="s">
        <v>227</v>
      </c>
      <c r="B292" t="s">
        <v>302</v>
      </c>
      <c r="C292" t="s">
        <v>35</v>
      </c>
      <c r="D292" t="s">
        <v>35</v>
      </c>
      <c r="E292" t="s">
        <v>35</v>
      </c>
      <c r="F292" t="s">
        <v>35</v>
      </c>
      <c r="G292" t="s">
        <v>35</v>
      </c>
      <c r="H292" t="s">
        <v>35</v>
      </c>
      <c r="I292" t="s">
        <v>35</v>
      </c>
      <c r="J292" t="s">
        <v>35</v>
      </c>
      <c r="K292">
        <v>0.2089</v>
      </c>
      <c r="L292" t="s">
        <v>35</v>
      </c>
      <c r="M292">
        <v>3.1399999999999997E-2</v>
      </c>
      <c r="N292">
        <v>0.75929999999999997</v>
      </c>
      <c r="O292">
        <v>74</v>
      </c>
      <c r="P292">
        <v>0.66500000000000004</v>
      </c>
      <c r="Q292" t="s">
        <v>35</v>
      </c>
      <c r="R292" t="s">
        <v>35</v>
      </c>
      <c r="S292" t="s">
        <v>35</v>
      </c>
      <c r="T292" t="s">
        <v>35</v>
      </c>
      <c r="U292" t="s">
        <v>35</v>
      </c>
      <c r="V292">
        <v>1</v>
      </c>
      <c r="W292">
        <v>0.53849999999999998</v>
      </c>
      <c r="X292">
        <v>0.36149999999999999</v>
      </c>
      <c r="Y292">
        <v>0.1</v>
      </c>
      <c r="Z292">
        <v>0</v>
      </c>
      <c r="AA292">
        <v>0</v>
      </c>
      <c r="AB292">
        <v>1.1000000000000001</v>
      </c>
      <c r="AC292">
        <v>20</v>
      </c>
      <c r="AD292">
        <v>1200</v>
      </c>
      <c r="AE292">
        <v>20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f t="shared" si="13"/>
        <v>0.09</v>
      </c>
      <c r="AM292">
        <v>0.79</v>
      </c>
    </row>
    <row r="293" spans="1:39" x14ac:dyDescent="0.25">
      <c r="A293" s="6" t="s">
        <v>227</v>
      </c>
      <c r="B293" t="s">
        <v>303</v>
      </c>
      <c r="C293" t="s">
        <v>35</v>
      </c>
      <c r="D293" t="s">
        <v>35</v>
      </c>
      <c r="E293" t="s">
        <v>35</v>
      </c>
      <c r="F293" t="s">
        <v>35</v>
      </c>
      <c r="G293" t="s">
        <v>35</v>
      </c>
      <c r="H293" t="s">
        <v>35</v>
      </c>
      <c r="I293" t="s">
        <v>35</v>
      </c>
      <c r="J293" t="s">
        <v>35</v>
      </c>
      <c r="K293">
        <v>0.879</v>
      </c>
      <c r="L293" t="s">
        <v>35</v>
      </c>
      <c r="M293">
        <v>2.0500000000000001E-2</v>
      </c>
      <c r="N293">
        <v>0.10050000000000001</v>
      </c>
      <c r="O293">
        <v>74</v>
      </c>
      <c r="P293">
        <v>0.66500000000000004</v>
      </c>
      <c r="Q293" t="s">
        <v>35</v>
      </c>
      <c r="R293" t="s">
        <v>35</v>
      </c>
      <c r="S293" t="s">
        <v>35</v>
      </c>
      <c r="T293" t="s">
        <v>35</v>
      </c>
      <c r="U293" t="s">
        <v>35</v>
      </c>
      <c r="V293">
        <v>1</v>
      </c>
      <c r="W293">
        <v>0.12479999999999999</v>
      </c>
      <c r="X293">
        <v>0.7752</v>
      </c>
      <c r="Y293">
        <v>0.1</v>
      </c>
      <c r="Z293">
        <v>0</v>
      </c>
      <c r="AA293">
        <v>0</v>
      </c>
      <c r="AB293">
        <v>0.5</v>
      </c>
      <c r="AC293">
        <v>20</v>
      </c>
      <c r="AD293">
        <v>1200</v>
      </c>
      <c r="AE293">
        <v>20</v>
      </c>
      <c r="AF293">
        <v>1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f t="shared" si="13"/>
        <v>0.09</v>
      </c>
      <c r="AM293">
        <v>0.75</v>
      </c>
    </row>
    <row r="294" spans="1:39" x14ac:dyDescent="0.25">
      <c r="A294" s="6" t="s">
        <v>227</v>
      </c>
      <c r="B294" t="s">
        <v>304</v>
      </c>
      <c r="C294" t="s">
        <v>35</v>
      </c>
      <c r="D294" t="s">
        <v>35</v>
      </c>
      <c r="E294" t="s">
        <v>35</v>
      </c>
      <c r="F294" t="s">
        <v>35</v>
      </c>
      <c r="G294" t="s">
        <v>35</v>
      </c>
      <c r="H294" t="s">
        <v>35</v>
      </c>
      <c r="I294" t="s">
        <v>35</v>
      </c>
      <c r="J294" t="s">
        <v>35</v>
      </c>
      <c r="K294">
        <v>0.879</v>
      </c>
      <c r="L294" t="s">
        <v>35</v>
      </c>
      <c r="M294">
        <v>2.0500000000000001E-2</v>
      </c>
      <c r="N294">
        <v>0.10050000000000001</v>
      </c>
      <c r="O294">
        <v>74</v>
      </c>
      <c r="P294">
        <v>0.66500000000000004</v>
      </c>
      <c r="Q294" t="s">
        <v>35</v>
      </c>
      <c r="R294" t="s">
        <v>35</v>
      </c>
      <c r="S294" t="s">
        <v>35</v>
      </c>
      <c r="T294" t="s">
        <v>35</v>
      </c>
      <c r="U294" t="s">
        <v>35</v>
      </c>
      <c r="V294">
        <v>1</v>
      </c>
      <c r="W294">
        <v>0.2021</v>
      </c>
      <c r="X294">
        <v>0.69789999999999996</v>
      </c>
      <c r="Y294">
        <v>0.1</v>
      </c>
      <c r="Z294">
        <v>0</v>
      </c>
      <c r="AA294">
        <v>0</v>
      </c>
      <c r="AB294">
        <v>0.9</v>
      </c>
      <c r="AC294">
        <v>20</v>
      </c>
      <c r="AD294">
        <v>1200</v>
      </c>
      <c r="AE294">
        <v>20</v>
      </c>
      <c r="AF294">
        <v>1</v>
      </c>
      <c r="AG294">
        <v>0</v>
      </c>
      <c r="AH294">
        <v>0</v>
      </c>
      <c r="AI294">
        <v>0</v>
      </c>
      <c r="AJ294">
        <v>0</v>
      </c>
      <c r="AK294">
        <v>1</v>
      </c>
      <c r="AL294">
        <f t="shared" si="13"/>
        <v>0.09</v>
      </c>
      <c r="AM294">
        <v>0.94</v>
      </c>
    </row>
    <row r="295" spans="1:39" x14ac:dyDescent="0.25">
      <c r="A295" s="6" t="s">
        <v>227</v>
      </c>
      <c r="B295" t="s">
        <v>305</v>
      </c>
      <c r="C295" t="s">
        <v>35</v>
      </c>
      <c r="D295" t="s">
        <v>35</v>
      </c>
      <c r="E295" t="s">
        <v>35</v>
      </c>
      <c r="F295" t="s">
        <v>35</v>
      </c>
      <c r="G295" t="s">
        <v>35</v>
      </c>
      <c r="H295" t="s">
        <v>35</v>
      </c>
      <c r="I295" t="s">
        <v>35</v>
      </c>
      <c r="J295" t="s">
        <v>35</v>
      </c>
      <c r="K295">
        <v>0.879</v>
      </c>
      <c r="L295" t="s">
        <v>35</v>
      </c>
      <c r="M295">
        <v>2.0500000000000001E-2</v>
      </c>
      <c r="N295">
        <v>0.10050000000000001</v>
      </c>
      <c r="O295">
        <v>74</v>
      </c>
      <c r="P295">
        <v>0.66500000000000004</v>
      </c>
      <c r="Q295" t="s">
        <v>35</v>
      </c>
      <c r="R295" t="s">
        <v>35</v>
      </c>
      <c r="S295" t="s">
        <v>35</v>
      </c>
      <c r="T295" t="s">
        <v>35</v>
      </c>
      <c r="U295" t="s">
        <v>35</v>
      </c>
      <c r="V295">
        <v>1</v>
      </c>
      <c r="W295">
        <v>0.23530000000000001</v>
      </c>
      <c r="X295">
        <v>0.66469999999999996</v>
      </c>
      <c r="Y295">
        <v>0.1</v>
      </c>
      <c r="Z295">
        <v>0</v>
      </c>
      <c r="AA295">
        <v>0</v>
      </c>
      <c r="AB295">
        <v>1.1000000000000001</v>
      </c>
      <c r="AC295">
        <v>20</v>
      </c>
      <c r="AD295">
        <v>1200</v>
      </c>
      <c r="AE295">
        <v>20</v>
      </c>
      <c r="AF295">
        <v>1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f t="shared" si="13"/>
        <v>0.09</v>
      </c>
      <c r="AM295">
        <v>0.94</v>
      </c>
    </row>
    <row r="296" spans="1:39" x14ac:dyDescent="0.25">
      <c r="A296" s="6" t="s">
        <v>227</v>
      </c>
      <c r="B296" t="s">
        <v>306</v>
      </c>
      <c r="C296" t="s">
        <v>35</v>
      </c>
      <c r="D296" t="s">
        <v>35</v>
      </c>
      <c r="E296" t="s">
        <v>35</v>
      </c>
      <c r="F296" t="s">
        <v>35</v>
      </c>
      <c r="G296" t="s">
        <v>35</v>
      </c>
      <c r="H296" t="s">
        <v>35</v>
      </c>
      <c r="I296" t="s">
        <v>35</v>
      </c>
      <c r="J296" t="s">
        <v>35</v>
      </c>
      <c r="K296">
        <v>0.61450000000000005</v>
      </c>
      <c r="L296" t="s">
        <v>35</v>
      </c>
      <c r="M296">
        <v>0.16520000000000001</v>
      </c>
      <c r="N296">
        <v>0.21820000000000001</v>
      </c>
      <c r="O296">
        <v>74</v>
      </c>
      <c r="P296">
        <v>0.66500000000000004</v>
      </c>
      <c r="Q296" t="s">
        <v>35</v>
      </c>
      <c r="R296" t="s">
        <v>35</v>
      </c>
      <c r="S296" t="s">
        <v>35</v>
      </c>
      <c r="T296" t="s">
        <v>35</v>
      </c>
      <c r="U296" t="s">
        <v>35</v>
      </c>
      <c r="V296">
        <v>1</v>
      </c>
      <c r="W296">
        <v>0.16830000000000001</v>
      </c>
      <c r="X296">
        <v>0.73170000000000002</v>
      </c>
      <c r="Y296">
        <v>0.1</v>
      </c>
      <c r="Z296">
        <v>0</v>
      </c>
      <c r="AA296">
        <v>0</v>
      </c>
      <c r="AB296">
        <v>0.5</v>
      </c>
      <c r="AC296">
        <v>20</v>
      </c>
      <c r="AD296">
        <v>1200</v>
      </c>
      <c r="AE296">
        <v>20</v>
      </c>
      <c r="AF296">
        <v>1</v>
      </c>
      <c r="AG296">
        <v>0</v>
      </c>
      <c r="AH296">
        <v>0</v>
      </c>
      <c r="AI296">
        <v>0</v>
      </c>
      <c r="AJ296">
        <v>0</v>
      </c>
      <c r="AK296">
        <v>1</v>
      </c>
      <c r="AL296">
        <f t="shared" si="13"/>
        <v>0.09</v>
      </c>
      <c r="AM296">
        <v>0.7</v>
      </c>
    </row>
    <row r="297" spans="1:39" x14ac:dyDescent="0.25">
      <c r="A297" s="6" t="s">
        <v>227</v>
      </c>
      <c r="B297" t="s">
        <v>307</v>
      </c>
      <c r="C297" t="s">
        <v>35</v>
      </c>
      <c r="D297" t="s">
        <v>35</v>
      </c>
      <c r="E297" t="s">
        <v>35</v>
      </c>
      <c r="F297" t="s">
        <v>35</v>
      </c>
      <c r="G297" t="s">
        <v>35</v>
      </c>
      <c r="H297" t="s">
        <v>35</v>
      </c>
      <c r="I297" t="s">
        <v>35</v>
      </c>
      <c r="J297" t="s">
        <v>35</v>
      </c>
      <c r="K297">
        <v>0.61450000000000005</v>
      </c>
      <c r="L297" t="s">
        <v>35</v>
      </c>
      <c r="M297">
        <v>0.16520000000000001</v>
      </c>
      <c r="N297">
        <v>0.21820000000000001</v>
      </c>
      <c r="O297">
        <v>74</v>
      </c>
      <c r="P297">
        <v>0.66500000000000004</v>
      </c>
      <c r="Q297" t="s">
        <v>35</v>
      </c>
      <c r="R297" t="s">
        <v>35</v>
      </c>
      <c r="S297" t="s">
        <v>35</v>
      </c>
      <c r="T297" t="s">
        <v>35</v>
      </c>
      <c r="U297" t="s">
        <v>35</v>
      </c>
      <c r="V297">
        <v>1</v>
      </c>
      <c r="W297">
        <v>0.26369999999999999</v>
      </c>
      <c r="X297">
        <v>0.63629999999999998</v>
      </c>
      <c r="Y297">
        <v>0.1</v>
      </c>
      <c r="Z297">
        <v>0</v>
      </c>
      <c r="AA297">
        <v>0</v>
      </c>
      <c r="AB297">
        <v>0.9</v>
      </c>
      <c r="AC297">
        <v>20</v>
      </c>
      <c r="AD297">
        <v>1200</v>
      </c>
      <c r="AE297">
        <v>20</v>
      </c>
      <c r="AF297">
        <v>1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f t="shared" si="13"/>
        <v>0.09</v>
      </c>
      <c r="AM297">
        <v>0.93</v>
      </c>
    </row>
    <row r="298" spans="1:39" x14ac:dyDescent="0.25">
      <c r="A298" s="6" t="s">
        <v>227</v>
      </c>
      <c r="B298" t="s">
        <v>308</v>
      </c>
      <c r="C298" t="s">
        <v>35</v>
      </c>
      <c r="D298" t="s">
        <v>35</v>
      </c>
      <c r="E298" t="s">
        <v>35</v>
      </c>
      <c r="F298" t="s">
        <v>35</v>
      </c>
      <c r="G298" t="s">
        <v>35</v>
      </c>
      <c r="H298" t="s">
        <v>35</v>
      </c>
      <c r="I298" t="s">
        <v>35</v>
      </c>
      <c r="J298" t="s">
        <v>35</v>
      </c>
      <c r="K298">
        <v>0.61450000000000005</v>
      </c>
      <c r="L298" t="s">
        <v>35</v>
      </c>
      <c r="M298">
        <v>0.16520000000000001</v>
      </c>
      <c r="N298">
        <v>0.21820000000000001</v>
      </c>
      <c r="O298">
        <v>74</v>
      </c>
      <c r="P298">
        <v>0.66500000000000004</v>
      </c>
      <c r="Q298" t="s">
        <v>35</v>
      </c>
      <c r="R298" t="s">
        <v>35</v>
      </c>
      <c r="S298" t="s">
        <v>35</v>
      </c>
      <c r="T298" t="s">
        <v>35</v>
      </c>
      <c r="U298" t="s">
        <v>35</v>
      </c>
      <c r="V298">
        <v>1</v>
      </c>
      <c r="W298">
        <v>0.30259999999999998</v>
      </c>
      <c r="X298">
        <v>0.59740000000000004</v>
      </c>
      <c r="Y298">
        <v>0.1</v>
      </c>
      <c r="Z298">
        <v>0</v>
      </c>
      <c r="AA298">
        <v>0</v>
      </c>
      <c r="AB298">
        <v>1.1000000000000001</v>
      </c>
      <c r="AC298">
        <v>20</v>
      </c>
      <c r="AD298">
        <v>1200</v>
      </c>
      <c r="AE298">
        <v>20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f t="shared" si="13"/>
        <v>0.09</v>
      </c>
      <c r="AM298">
        <v>0.93</v>
      </c>
    </row>
    <row r="299" spans="1:39" x14ac:dyDescent="0.25">
      <c r="A299" s="6" t="s">
        <v>227</v>
      </c>
      <c r="B299" t="s">
        <v>280</v>
      </c>
      <c r="C299">
        <v>150</v>
      </c>
      <c r="D299" t="s">
        <v>35</v>
      </c>
      <c r="E299" t="s">
        <v>35</v>
      </c>
      <c r="F299" t="s">
        <v>35</v>
      </c>
      <c r="G299" t="s">
        <v>35</v>
      </c>
      <c r="H299" t="s">
        <v>35</v>
      </c>
      <c r="I299" t="s">
        <v>35</v>
      </c>
      <c r="J299" t="s">
        <v>35</v>
      </c>
      <c r="K299">
        <v>0.2089</v>
      </c>
      <c r="L299" t="s">
        <v>35</v>
      </c>
      <c r="M299">
        <v>3.1399999999999997E-2</v>
      </c>
      <c r="N299">
        <v>0.75929999999999997</v>
      </c>
      <c r="O299">
        <v>74</v>
      </c>
      <c r="P299">
        <v>0.66500000000000004</v>
      </c>
      <c r="Q299" t="s">
        <v>35</v>
      </c>
      <c r="R299" t="s">
        <v>35</v>
      </c>
      <c r="S299" t="s">
        <v>35</v>
      </c>
      <c r="T299" t="s">
        <v>35</v>
      </c>
      <c r="U299" t="s">
        <v>35</v>
      </c>
      <c r="V299">
        <v>1</v>
      </c>
      <c r="W299">
        <v>0.438</v>
      </c>
      <c r="X299">
        <v>0.46200000000000002</v>
      </c>
      <c r="Y299">
        <v>0.1</v>
      </c>
      <c r="Z299">
        <v>0</v>
      </c>
      <c r="AA299">
        <v>0</v>
      </c>
      <c r="AB299">
        <v>0.7</v>
      </c>
      <c r="AC299">
        <v>20</v>
      </c>
      <c r="AD299">
        <v>1200</v>
      </c>
      <c r="AE299">
        <v>20</v>
      </c>
      <c r="AF299">
        <v>1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f t="shared" si="13"/>
        <v>0.09</v>
      </c>
      <c r="AM299">
        <v>0.94520000000000004</v>
      </c>
    </row>
    <row r="300" spans="1:39" x14ac:dyDescent="0.25">
      <c r="A300" s="6" t="s">
        <v>227</v>
      </c>
      <c r="B300" t="s">
        <v>280</v>
      </c>
      <c r="C300">
        <v>225</v>
      </c>
      <c r="D300" t="s">
        <v>35</v>
      </c>
      <c r="E300" t="s">
        <v>35</v>
      </c>
      <c r="F300" t="s">
        <v>35</v>
      </c>
      <c r="G300" t="s">
        <v>35</v>
      </c>
      <c r="H300" t="s">
        <v>35</v>
      </c>
      <c r="I300" t="s">
        <v>35</v>
      </c>
      <c r="J300" t="s">
        <v>35</v>
      </c>
      <c r="K300">
        <v>0.2089</v>
      </c>
      <c r="L300" t="s">
        <v>35</v>
      </c>
      <c r="M300">
        <v>3.1399999999999997E-2</v>
      </c>
      <c r="N300">
        <v>0.75929999999999997</v>
      </c>
      <c r="O300">
        <v>74</v>
      </c>
      <c r="P300">
        <v>0.66500000000000004</v>
      </c>
      <c r="Q300" t="s">
        <v>35</v>
      </c>
      <c r="R300" t="s">
        <v>35</v>
      </c>
      <c r="S300" t="s">
        <v>35</v>
      </c>
      <c r="T300" t="s">
        <v>35</v>
      </c>
      <c r="U300" t="s">
        <v>35</v>
      </c>
      <c r="V300">
        <v>1</v>
      </c>
      <c r="W300">
        <v>0.438</v>
      </c>
      <c r="X300">
        <v>0.46200000000000002</v>
      </c>
      <c r="Y300">
        <v>0.1</v>
      </c>
      <c r="Z300">
        <v>0</v>
      </c>
      <c r="AA300">
        <v>0</v>
      </c>
      <c r="AB300">
        <v>0.7</v>
      </c>
      <c r="AC300">
        <v>20</v>
      </c>
      <c r="AD300">
        <v>1200</v>
      </c>
      <c r="AE300">
        <v>20</v>
      </c>
      <c r="AF300">
        <v>1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f t="shared" si="13"/>
        <v>0.09</v>
      </c>
      <c r="AM300">
        <v>0.93640000000000001</v>
      </c>
    </row>
    <row r="301" spans="1:39" x14ac:dyDescent="0.25">
      <c r="A301" s="6" t="s">
        <v>227</v>
      </c>
      <c r="B301" t="s">
        <v>280</v>
      </c>
      <c r="C301">
        <v>650</v>
      </c>
      <c r="D301" t="s">
        <v>35</v>
      </c>
      <c r="E301" t="s">
        <v>35</v>
      </c>
      <c r="F301" t="s">
        <v>35</v>
      </c>
      <c r="G301" t="s">
        <v>35</v>
      </c>
      <c r="H301" t="s">
        <v>35</v>
      </c>
      <c r="I301" t="s">
        <v>35</v>
      </c>
      <c r="J301" t="s">
        <v>35</v>
      </c>
      <c r="K301">
        <v>0.2089</v>
      </c>
      <c r="L301" t="s">
        <v>35</v>
      </c>
      <c r="M301">
        <v>3.1399999999999997E-2</v>
      </c>
      <c r="N301">
        <v>0.75929999999999997</v>
      </c>
      <c r="O301">
        <v>74</v>
      </c>
      <c r="P301">
        <v>0.66500000000000004</v>
      </c>
      <c r="Q301" t="s">
        <v>35</v>
      </c>
      <c r="R301" t="s">
        <v>35</v>
      </c>
      <c r="S301" t="s">
        <v>35</v>
      </c>
      <c r="T301" t="s">
        <v>35</v>
      </c>
      <c r="U301" t="s">
        <v>35</v>
      </c>
      <c r="V301">
        <v>1</v>
      </c>
      <c r="W301">
        <v>0.438</v>
      </c>
      <c r="X301">
        <v>0.46200000000000002</v>
      </c>
      <c r="Y301">
        <v>0.1</v>
      </c>
      <c r="Z301">
        <v>0</v>
      </c>
      <c r="AA301">
        <v>0</v>
      </c>
      <c r="AB301">
        <v>0.7</v>
      </c>
      <c r="AC301">
        <v>20</v>
      </c>
      <c r="AD301">
        <v>1200</v>
      </c>
      <c r="AE301">
        <v>20</v>
      </c>
      <c r="AF301">
        <v>1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f t="shared" si="13"/>
        <v>0.09</v>
      </c>
      <c r="AM301">
        <v>0.91979999999999995</v>
      </c>
    </row>
    <row r="302" spans="1:39" x14ac:dyDescent="0.25">
      <c r="A302" s="6" t="s">
        <v>227</v>
      </c>
      <c r="B302" t="s">
        <v>280</v>
      </c>
      <c r="C302">
        <v>1500</v>
      </c>
      <c r="D302" t="s">
        <v>35</v>
      </c>
      <c r="E302" t="s">
        <v>35</v>
      </c>
      <c r="F302" t="s">
        <v>35</v>
      </c>
      <c r="G302" t="s">
        <v>35</v>
      </c>
      <c r="H302" t="s">
        <v>35</v>
      </c>
      <c r="I302" t="s">
        <v>35</v>
      </c>
      <c r="J302" t="s">
        <v>35</v>
      </c>
      <c r="K302">
        <v>0.2089</v>
      </c>
      <c r="L302" t="s">
        <v>35</v>
      </c>
      <c r="M302">
        <v>3.1399999999999997E-2</v>
      </c>
      <c r="N302">
        <v>0.75929999999999997</v>
      </c>
      <c r="O302">
        <v>74</v>
      </c>
      <c r="P302">
        <v>0.66500000000000004</v>
      </c>
      <c r="Q302" t="s">
        <v>35</v>
      </c>
      <c r="R302" t="s">
        <v>35</v>
      </c>
      <c r="S302" t="s">
        <v>35</v>
      </c>
      <c r="T302" t="s">
        <v>35</v>
      </c>
      <c r="U302" t="s">
        <v>35</v>
      </c>
      <c r="V302">
        <v>1</v>
      </c>
      <c r="W302">
        <v>0.438</v>
      </c>
      <c r="X302">
        <v>0.46200000000000002</v>
      </c>
      <c r="Y302">
        <v>0.1</v>
      </c>
      <c r="Z302">
        <v>0</v>
      </c>
      <c r="AA302">
        <v>0</v>
      </c>
      <c r="AB302">
        <v>0.7</v>
      </c>
      <c r="AC302">
        <v>20</v>
      </c>
      <c r="AD302">
        <v>1200</v>
      </c>
      <c r="AE302">
        <v>20</v>
      </c>
      <c r="AF302">
        <v>1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f t="shared" si="13"/>
        <v>0.09</v>
      </c>
      <c r="AM302">
        <v>0.9123</v>
      </c>
    </row>
    <row r="303" spans="1:39" x14ac:dyDescent="0.25">
      <c r="A303" s="6" t="s">
        <v>227</v>
      </c>
      <c r="B303" t="s">
        <v>268</v>
      </c>
      <c r="C303">
        <v>150</v>
      </c>
      <c r="D303" t="s">
        <v>35</v>
      </c>
      <c r="E303" t="s">
        <v>35</v>
      </c>
      <c r="F303" t="s">
        <v>35</v>
      </c>
      <c r="G303" t="s">
        <v>35</v>
      </c>
      <c r="H303" t="s">
        <v>35</v>
      </c>
      <c r="I303" t="s">
        <v>35</v>
      </c>
      <c r="J303" t="s">
        <v>35</v>
      </c>
      <c r="K303">
        <v>0.2089</v>
      </c>
      <c r="L303" t="s">
        <v>35</v>
      </c>
      <c r="M303">
        <v>3.1399999999999997E-2</v>
      </c>
      <c r="N303">
        <v>0.75929999999999997</v>
      </c>
      <c r="O303">
        <v>74</v>
      </c>
      <c r="P303">
        <v>0.66500000000000004</v>
      </c>
      <c r="Q303" t="s">
        <v>35</v>
      </c>
      <c r="R303" t="s">
        <v>35</v>
      </c>
      <c r="S303" t="s">
        <v>35</v>
      </c>
      <c r="T303" t="s">
        <v>35</v>
      </c>
      <c r="U303" t="s">
        <v>35</v>
      </c>
      <c r="V303">
        <v>1</v>
      </c>
      <c r="W303">
        <v>0.438</v>
      </c>
      <c r="X303">
        <v>0.46200000000000002</v>
      </c>
      <c r="Y303">
        <v>0.1</v>
      </c>
      <c r="Z303">
        <v>0</v>
      </c>
      <c r="AA303">
        <v>0</v>
      </c>
      <c r="AB303">
        <v>0.7</v>
      </c>
      <c r="AC303">
        <v>20</v>
      </c>
      <c r="AD303">
        <v>1000</v>
      </c>
      <c r="AE303">
        <v>20</v>
      </c>
      <c r="AF303">
        <v>1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f t="shared" si="13"/>
        <v>0.09</v>
      </c>
      <c r="AM303">
        <v>0.30259999999999998</v>
      </c>
    </row>
    <row r="304" spans="1:39" x14ac:dyDescent="0.25">
      <c r="A304" s="6" t="s">
        <v>227</v>
      </c>
      <c r="B304" t="s">
        <v>268</v>
      </c>
      <c r="C304">
        <v>225</v>
      </c>
      <c r="D304" t="s">
        <v>35</v>
      </c>
      <c r="E304" t="s">
        <v>35</v>
      </c>
      <c r="F304" t="s">
        <v>35</v>
      </c>
      <c r="G304" t="s">
        <v>35</v>
      </c>
      <c r="H304" t="s">
        <v>35</v>
      </c>
      <c r="I304" t="s">
        <v>35</v>
      </c>
      <c r="J304" t="s">
        <v>35</v>
      </c>
      <c r="K304">
        <v>0.2089</v>
      </c>
      <c r="L304" t="s">
        <v>35</v>
      </c>
      <c r="M304">
        <v>3.1399999999999997E-2</v>
      </c>
      <c r="N304">
        <v>0.75929999999999997</v>
      </c>
      <c r="O304">
        <v>74</v>
      </c>
      <c r="P304">
        <v>0.66500000000000004</v>
      </c>
      <c r="Q304" t="s">
        <v>35</v>
      </c>
      <c r="R304" t="s">
        <v>35</v>
      </c>
      <c r="S304" t="s">
        <v>35</v>
      </c>
      <c r="T304" t="s">
        <v>35</v>
      </c>
      <c r="U304" t="s">
        <v>35</v>
      </c>
      <c r="V304">
        <v>1</v>
      </c>
      <c r="W304">
        <v>0.438</v>
      </c>
      <c r="X304">
        <v>0.46200000000000002</v>
      </c>
      <c r="Y304">
        <v>0.1</v>
      </c>
      <c r="Z304">
        <v>0</v>
      </c>
      <c r="AA304">
        <v>0</v>
      </c>
      <c r="AB304">
        <v>0.7</v>
      </c>
      <c r="AC304">
        <v>20</v>
      </c>
      <c r="AD304">
        <v>1000</v>
      </c>
      <c r="AE304">
        <v>20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f t="shared" si="13"/>
        <v>0.09</v>
      </c>
      <c r="AM304">
        <v>0.23619999999999999</v>
      </c>
    </row>
    <row r="305" spans="1:39" x14ac:dyDescent="0.25">
      <c r="A305" s="6" t="s">
        <v>227</v>
      </c>
      <c r="B305" t="s">
        <v>268</v>
      </c>
      <c r="C305">
        <v>650</v>
      </c>
      <c r="D305" t="s">
        <v>35</v>
      </c>
      <c r="E305" t="s">
        <v>35</v>
      </c>
      <c r="F305" t="s">
        <v>35</v>
      </c>
      <c r="G305" t="s">
        <v>35</v>
      </c>
      <c r="H305" t="s">
        <v>35</v>
      </c>
      <c r="I305" t="s">
        <v>35</v>
      </c>
      <c r="J305" t="s">
        <v>35</v>
      </c>
      <c r="K305">
        <v>0.2089</v>
      </c>
      <c r="L305" t="s">
        <v>35</v>
      </c>
      <c r="M305">
        <v>3.1399999999999997E-2</v>
      </c>
      <c r="N305">
        <v>0.75929999999999997</v>
      </c>
      <c r="O305">
        <v>74</v>
      </c>
      <c r="P305">
        <v>0.66500000000000004</v>
      </c>
      <c r="Q305" t="s">
        <v>35</v>
      </c>
      <c r="R305" t="s">
        <v>35</v>
      </c>
      <c r="S305" t="s">
        <v>35</v>
      </c>
      <c r="T305" t="s">
        <v>35</v>
      </c>
      <c r="U305" t="s">
        <v>35</v>
      </c>
      <c r="V305">
        <v>1</v>
      </c>
      <c r="W305">
        <v>0.438</v>
      </c>
      <c r="X305">
        <v>0.46200000000000002</v>
      </c>
      <c r="Y305">
        <v>0.1</v>
      </c>
      <c r="Z305">
        <v>0</v>
      </c>
      <c r="AA305">
        <v>0</v>
      </c>
      <c r="AB305">
        <v>0.7</v>
      </c>
      <c r="AC305">
        <v>20</v>
      </c>
      <c r="AD305">
        <v>1000</v>
      </c>
      <c r="AE305">
        <v>20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f t="shared" si="13"/>
        <v>0.09</v>
      </c>
      <c r="AM305">
        <v>0.1593</v>
      </c>
    </row>
    <row r="306" spans="1:39" x14ac:dyDescent="0.25">
      <c r="A306" s="6" t="s">
        <v>227</v>
      </c>
      <c r="B306" t="s">
        <v>268</v>
      </c>
      <c r="C306">
        <v>1500</v>
      </c>
      <c r="D306" t="s">
        <v>35</v>
      </c>
      <c r="E306" t="s">
        <v>35</v>
      </c>
      <c r="F306" t="s">
        <v>35</v>
      </c>
      <c r="G306" t="s">
        <v>35</v>
      </c>
      <c r="H306" t="s">
        <v>35</v>
      </c>
      <c r="I306" t="s">
        <v>35</v>
      </c>
      <c r="J306" t="s">
        <v>35</v>
      </c>
      <c r="K306">
        <v>0.2089</v>
      </c>
      <c r="L306" t="s">
        <v>35</v>
      </c>
      <c r="M306">
        <v>3.1399999999999997E-2</v>
      </c>
      <c r="N306">
        <v>0.75929999999999997</v>
      </c>
      <c r="O306">
        <v>74</v>
      </c>
      <c r="P306">
        <v>0.66500000000000004</v>
      </c>
      <c r="Q306" t="s">
        <v>35</v>
      </c>
      <c r="R306" t="s">
        <v>35</v>
      </c>
      <c r="S306" t="s">
        <v>35</v>
      </c>
      <c r="T306" t="s">
        <v>35</v>
      </c>
      <c r="U306" t="s">
        <v>35</v>
      </c>
      <c r="V306">
        <v>1</v>
      </c>
      <c r="W306">
        <v>0.438</v>
      </c>
      <c r="X306">
        <v>0.46200000000000002</v>
      </c>
      <c r="Y306">
        <v>0.1</v>
      </c>
      <c r="Z306">
        <v>0</v>
      </c>
      <c r="AA306">
        <v>0</v>
      </c>
      <c r="AB306">
        <v>0.7</v>
      </c>
      <c r="AC306">
        <v>20</v>
      </c>
      <c r="AD306">
        <v>1000</v>
      </c>
      <c r="AE306">
        <v>20</v>
      </c>
      <c r="AF306">
        <v>1</v>
      </c>
      <c r="AG306">
        <v>0</v>
      </c>
      <c r="AH306">
        <v>0</v>
      </c>
      <c r="AI306">
        <v>0</v>
      </c>
      <c r="AJ306">
        <v>0</v>
      </c>
      <c r="AK306">
        <v>1</v>
      </c>
      <c r="AL306">
        <f t="shared" si="13"/>
        <v>0.09</v>
      </c>
      <c r="AM306">
        <v>8.0699999999999994E-2</v>
      </c>
    </row>
    <row r="307" spans="1:39" x14ac:dyDescent="0.25">
      <c r="A307" s="6" t="s">
        <v>227</v>
      </c>
      <c r="B307" t="s">
        <v>284</v>
      </c>
      <c r="C307">
        <v>150</v>
      </c>
      <c r="D307" t="s">
        <v>35</v>
      </c>
      <c r="E307" t="s">
        <v>35</v>
      </c>
      <c r="F307" t="s">
        <v>35</v>
      </c>
      <c r="G307" t="s">
        <v>35</v>
      </c>
      <c r="H307" t="s">
        <v>35</v>
      </c>
      <c r="I307" t="s">
        <v>35</v>
      </c>
      <c r="J307" t="s">
        <v>35</v>
      </c>
      <c r="K307">
        <v>0.879</v>
      </c>
      <c r="L307" t="s">
        <v>35</v>
      </c>
      <c r="M307">
        <v>2.0500000000000001E-2</v>
      </c>
      <c r="N307">
        <v>0.10050000000000001</v>
      </c>
      <c r="O307">
        <v>74</v>
      </c>
      <c r="P307">
        <v>0.66500000000000004</v>
      </c>
      <c r="Q307" t="s">
        <v>35</v>
      </c>
      <c r="R307" t="s">
        <v>35</v>
      </c>
      <c r="S307" t="s">
        <v>35</v>
      </c>
      <c r="T307" t="s">
        <v>35</v>
      </c>
      <c r="U307" t="s">
        <v>35</v>
      </c>
      <c r="V307">
        <v>1</v>
      </c>
      <c r="W307">
        <v>0.1656</v>
      </c>
      <c r="X307">
        <v>0.73440000000000005</v>
      </c>
      <c r="Y307">
        <v>0.1</v>
      </c>
      <c r="Z307">
        <v>0</v>
      </c>
      <c r="AA307">
        <v>0</v>
      </c>
      <c r="AB307">
        <v>0.7</v>
      </c>
      <c r="AC307">
        <v>20</v>
      </c>
      <c r="AD307">
        <v>1200</v>
      </c>
      <c r="AE307">
        <v>20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1</v>
      </c>
      <c r="AL307">
        <f t="shared" si="13"/>
        <v>0.09</v>
      </c>
      <c r="AM307">
        <v>0.93789999999999996</v>
      </c>
    </row>
    <row r="308" spans="1:39" x14ac:dyDescent="0.25">
      <c r="A308" s="6" t="s">
        <v>227</v>
      </c>
      <c r="B308" t="s">
        <v>284</v>
      </c>
      <c r="C308">
        <v>225</v>
      </c>
      <c r="D308" t="s">
        <v>35</v>
      </c>
      <c r="E308" t="s">
        <v>35</v>
      </c>
      <c r="F308" t="s">
        <v>35</v>
      </c>
      <c r="G308" t="s">
        <v>35</v>
      </c>
      <c r="H308" t="s">
        <v>35</v>
      </c>
      <c r="I308" t="s">
        <v>35</v>
      </c>
      <c r="J308" t="s">
        <v>35</v>
      </c>
      <c r="K308">
        <v>0.879</v>
      </c>
      <c r="L308" t="s">
        <v>35</v>
      </c>
      <c r="M308">
        <v>2.0500000000000001E-2</v>
      </c>
      <c r="N308">
        <v>0.10050000000000001</v>
      </c>
      <c r="O308">
        <v>74</v>
      </c>
      <c r="P308">
        <v>0.66500000000000004</v>
      </c>
      <c r="Q308" t="s">
        <v>35</v>
      </c>
      <c r="R308" t="s">
        <v>35</v>
      </c>
      <c r="S308" t="s">
        <v>35</v>
      </c>
      <c r="T308" t="s">
        <v>35</v>
      </c>
      <c r="U308" t="s">
        <v>35</v>
      </c>
      <c r="V308">
        <v>1</v>
      </c>
      <c r="W308">
        <v>0.1656</v>
      </c>
      <c r="X308">
        <v>0.73440000000000005</v>
      </c>
      <c r="Y308">
        <v>0.1</v>
      </c>
      <c r="Z308">
        <v>0</v>
      </c>
      <c r="AA308">
        <v>0</v>
      </c>
      <c r="AB308">
        <v>0.7</v>
      </c>
      <c r="AC308">
        <v>20</v>
      </c>
      <c r="AD308">
        <v>1200</v>
      </c>
      <c r="AE308">
        <v>20</v>
      </c>
      <c r="AF308">
        <v>1</v>
      </c>
      <c r="AG308">
        <v>0</v>
      </c>
      <c r="AH308">
        <v>0</v>
      </c>
      <c r="AI308">
        <v>0</v>
      </c>
      <c r="AJ308">
        <v>0</v>
      </c>
      <c r="AK308">
        <v>1</v>
      </c>
      <c r="AL308">
        <f t="shared" si="13"/>
        <v>0.09</v>
      </c>
      <c r="AM308">
        <v>0.94210000000000005</v>
      </c>
    </row>
    <row r="309" spans="1:39" x14ac:dyDescent="0.25">
      <c r="A309" s="6" t="s">
        <v>227</v>
      </c>
      <c r="B309" t="s">
        <v>284</v>
      </c>
      <c r="C309">
        <v>650</v>
      </c>
      <c r="D309" t="s">
        <v>35</v>
      </c>
      <c r="E309" t="s">
        <v>35</v>
      </c>
      <c r="F309" t="s">
        <v>35</v>
      </c>
      <c r="G309" t="s">
        <v>35</v>
      </c>
      <c r="H309" t="s">
        <v>35</v>
      </c>
      <c r="I309" t="s">
        <v>35</v>
      </c>
      <c r="J309" t="s">
        <v>35</v>
      </c>
      <c r="K309">
        <v>0.879</v>
      </c>
      <c r="L309" t="s">
        <v>35</v>
      </c>
      <c r="M309">
        <v>2.0500000000000001E-2</v>
      </c>
      <c r="N309">
        <v>0.10050000000000001</v>
      </c>
      <c r="O309">
        <v>74</v>
      </c>
      <c r="P309">
        <v>0.66500000000000004</v>
      </c>
      <c r="Q309" t="s">
        <v>35</v>
      </c>
      <c r="R309" t="s">
        <v>35</v>
      </c>
      <c r="S309" t="s">
        <v>35</v>
      </c>
      <c r="T309" t="s">
        <v>35</v>
      </c>
      <c r="U309" t="s">
        <v>35</v>
      </c>
      <c r="V309">
        <v>1</v>
      </c>
      <c r="W309">
        <v>0.1656</v>
      </c>
      <c r="X309">
        <v>0.73440000000000005</v>
      </c>
      <c r="Y309">
        <v>0.1</v>
      </c>
      <c r="Z309">
        <v>0</v>
      </c>
      <c r="AA309">
        <v>0</v>
      </c>
      <c r="AB309">
        <v>0.7</v>
      </c>
      <c r="AC309">
        <v>20</v>
      </c>
      <c r="AD309">
        <v>1200</v>
      </c>
      <c r="AE309">
        <v>20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f t="shared" si="13"/>
        <v>0.09</v>
      </c>
      <c r="AM309">
        <v>0.9486</v>
      </c>
    </row>
    <row r="310" spans="1:39" x14ac:dyDescent="0.25">
      <c r="A310" s="6" t="s">
        <v>227</v>
      </c>
      <c r="B310" t="s">
        <v>284</v>
      </c>
      <c r="C310">
        <v>1500</v>
      </c>
      <c r="D310" t="s">
        <v>35</v>
      </c>
      <c r="E310" t="s">
        <v>35</v>
      </c>
      <c r="F310" t="s">
        <v>35</v>
      </c>
      <c r="G310" t="s">
        <v>35</v>
      </c>
      <c r="H310" t="s">
        <v>35</v>
      </c>
      <c r="I310" t="s">
        <v>35</v>
      </c>
      <c r="J310" t="s">
        <v>35</v>
      </c>
      <c r="K310">
        <v>0.879</v>
      </c>
      <c r="L310" t="s">
        <v>35</v>
      </c>
      <c r="M310">
        <v>2.0500000000000001E-2</v>
      </c>
      <c r="N310">
        <v>0.10050000000000001</v>
      </c>
      <c r="O310">
        <v>74</v>
      </c>
      <c r="P310">
        <v>0.66500000000000004</v>
      </c>
      <c r="Q310" t="s">
        <v>35</v>
      </c>
      <c r="R310" t="s">
        <v>35</v>
      </c>
      <c r="S310" t="s">
        <v>35</v>
      </c>
      <c r="T310" t="s">
        <v>35</v>
      </c>
      <c r="U310" t="s">
        <v>35</v>
      </c>
      <c r="V310">
        <v>1</v>
      </c>
      <c r="W310">
        <v>0.1656</v>
      </c>
      <c r="X310">
        <v>0.73440000000000005</v>
      </c>
      <c r="Y310">
        <v>0.1</v>
      </c>
      <c r="Z310">
        <v>0</v>
      </c>
      <c r="AA310">
        <v>0</v>
      </c>
      <c r="AB310">
        <v>0.7</v>
      </c>
      <c r="AC310">
        <v>20</v>
      </c>
      <c r="AD310">
        <v>1200</v>
      </c>
      <c r="AE310">
        <v>20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f t="shared" si="13"/>
        <v>0.09</v>
      </c>
      <c r="AM310">
        <v>0.92579999999999996</v>
      </c>
    </row>
    <row r="311" spans="1:39" x14ac:dyDescent="0.25">
      <c r="A311" s="6" t="s">
        <v>227</v>
      </c>
      <c r="B311" t="s">
        <v>272</v>
      </c>
      <c r="C311">
        <v>150</v>
      </c>
      <c r="D311" t="s">
        <v>35</v>
      </c>
      <c r="E311" t="s">
        <v>35</v>
      </c>
      <c r="F311" t="s">
        <v>35</v>
      </c>
      <c r="G311" t="s">
        <v>35</v>
      </c>
      <c r="H311" t="s">
        <v>35</v>
      </c>
      <c r="I311" t="s">
        <v>35</v>
      </c>
      <c r="J311" t="s">
        <v>35</v>
      </c>
      <c r="K311">
        <v>0.879</v>
      </c>
      <c r="L311" t="s">
        <v>35</v>
      </c>
      <c r="M311">
        <v>2.0500000000000001E-2</v>
      </c>
      <c r="N311">
        <v>0.10050000000000001</v>
      </c>
      <c r="O311">
        <v>74</v>
      </c>
      <c r="P311">
        <v>0.66500000000000004</v>
      </c>
      <c r="Q311" t="s">
        <v>35</v>
      </c>
      <c r="R311" t="s">
        <v>35</v>
      </c>
      <c r="S311" t="s">
        <v>35</v>
      </c>
      <c r="T311" t="s">
        <v>35</v>
      </c>
      <c r="U311" t="s">
        <v>35</v>
      </c>
      <c r="V311">
        <v>1</v>
      </c>
      <c r="W311">
        <v>0.1656</v>
      </c>
      <c r="X311">
        <v>0.73440000000000005</v>
      </c>
      <c r="Y311">
        <v>0.1</v>
      </c>
      <c r="Z311">
        <v>0</v>
      </c>
      <c r="AA311">
        <v>0</v>
      </c>
      <c r="AB311">
        <v>0.7</v>
      </c>
      <c r="AC311">
        <v>20</v>
      </c>
      <c r="AD311">
        <v>1000</v>
      </c>
      <c r="AE311">
        <v>20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f t="shared" si="13"/>
        <v>0.09</v>
      </c>
      <c r="AM311">
        <v>0.22869999999999999</v>
      </c>
    </row>
    <row r="312" spans="1:39" x14ac:dyDescent="0.25">
      <c r="A312" s="6" t="s">
        <v>227</v>
      </c>
      <c r="B312" t="s">
        <v>272</v>
      </c>
      <c r="C312">
        <v>225</v>
      </c>
      <c r="D312" t="s">
        <v>35</v>
      </c>
      <c r="E312" t="s">
        <v>35</v>
      </c>
      <c r="F312" t="s">
        <v>35</v>
      </c>
      <c r="G312" t="s">
        <v>35</v>
      </c>
      <c r="H312" t="s">
        <v>35</v>
      </c>
      <c r="I312" t="s">
        <v>35</v>
      </c>
      <c r="J312" t="s">
        <v>35</v>
      </c>
      <c r="K312">
        <v>0.879</v>
      </c>
      <c r="L312" t="s">
        <v>35</v>
      </c>
      <c r="M312">
        <v>2.0500000000000001E-2</v>
      </c>
      <c r="N312">
        <v>0.10050000000000001</v>
      </c>
      <c r="O312">
        <v>74</v>
      </c>
      <c r="P312">
        <v>0.66500000000000004</v>
      </c>
      <c r="Q312" t="s">
        <v>35</v>
      </c>
      <c r="R312" t="s">
        <v>35</v>
      </c>
      <c r="S312" t="s">
        <v>35</v>
      </c>
      <c r="T312" t="s">
        <v>35</v>
      </c>
      <c r="U312" t="s">
        <v>35</v>
      </c>
      <c r="V312">
        <v>1</v>
      </c>
      <c r="W312">
        <v>0.1656</v>
      </c>
      <c r="X312">
        <v>0.73440000000000005</v>
      </c>
      <c r="Y312">
        <v>0.1</v>
      </c>
      <c r="Z312">
        <v>0</v>
      </c>
      <c r="AA312">
        <v>0</v>
      </c>
      <c r="AB312">
        <v>0.7</v>
      </c>
      <c r="AC312">
        <v>20</v>
      </c>
      <c r="AD312">
        <v>1000</v>
      </c>
      <c r="AE312">
        <v>20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f t="shared" si="13"/>
        <v>0.09</v>
      </c>
      <c r="AM312">
        <v>0.21260000000000001</v>
      </c>
    </row>
    <row r="313" spans="1:39" x14ac:dyDescent="0.25">
      <c r="A313" s="6" t="s">
        <v>227</v>
      </c>
      <c r="B313" t="s">
        <v>272</v>
      </c>
      <c r="C313">
        <v>650</v>
      </c>
      <c r="D313" t="s">
        <v>35</v>
      </c>
      <c r="E313" t="s">
        <v>35</v>
      </c>
      <c r="F313" t="s">
        <v>35</v>
      </c>
      <c r="G313" t="s">
        <v>35</v>
      </c>
      <c r="H313" t="s">
        <v>35</v>
      </c>
      <c r="I313" t="s">
        <v>35</v>
      </c>
      <c r="J313" t="s">
        <v>35</v>
      </c>
      <c r="K313">
        <v>0.879</v>
      </c>
      <c r="L313" t="s">
        <v>35</v>
      </c>
      <c r="M313">
        <v>2.0500000000000001E-2</v>
      </c>
      <c r="N313">
        <v>0.10050000000000001</v>
      </c>
      <c r="O313">
        <v>74</v>
      </c>
      <c r="P313">
        <v>0.66500000000000004</v>
      </c>
      <c r="Q313" t="s">
        <v>35</v>
      </c>
      <c r="R313" t="s">
        <v>35</v>
      </c>
      <c r="S313" t="s">
        <v>35</v>
      </c>
      <c r="T313" t="s">
        <v>35</v>
      </c>
      <c r="U313" t="s">
        <v>35</v>
      </c>
      <c r="V313">
        <v>1</v>
      </c>
      <c r="W313">
        <v>0.1656</v>
      </c>
      <c r="X313">
        <v>0.73440000000000005</v>
      </c>
      <c r="Y313">
        <v>0.1</v>
      </c>
      <c r="Z313">
        <v>0</v>
      </c>
      <c r="AA313">
        <v>0</v>
      </c>
      <c r="AB313">
        <v>0.7</v>
      </c>
      <c r="AC313">
        <v>20</v>
      </c>
      <c r="AD313">
        <v>1000</v>
      </c>
      <c r="AE313">
        <v>20</v>
      </c>
      <c r="AF313">
        <v>1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f t="shared" si="13"/>
        <v>0.09</v>
      </c>
      <c r="AM313">
        <v>0.18920000000000001</v>
      </c>
    </row>
    <row r="314" spans="1:39" x14ac:dyDescent="0.25">
      <c r="A314" s="6" t="s">
        <v>227</v>
      </c>
      <c r="B314" t="s">
        <v>272</v>
      </c>
      <c r="C314">
        <v>1500</v>
      </c>
      <c r="D314" t="s">
        <v>35</v>
      </c>
      <c r="E314" t="s">
        <v>35</v>
      </c>
      <c r="F314" t="s">
        <v>35</v>
      </c>
      <c r="G314" t="s">
        <v>35</v>
      </c>
      <c r="H314" t="s">
        <v>35</v>
      </c>
      <c r="I314" t="s">
        <v>35</v>
      </c>
      <c r="J314" t="s">
        <v>35</v>
      </c>
      <c r="K314">
        <v>0.879</v>
      </c>
      <c r="L314" t="s">
        <v>35</v>
      </c>
      <c r="M314">
        <v>2.0500000000000001E-2</v>
      </c>
      <c r="N314">
        <v>0.10050000000000001</v>
      </c>
      <c r="O314">
        <v>74</v>
      </c>
      <c r="P314">
        <v>0.66500000000000004</v>
      </c>
      <c r="Q314" t="s">
        <v>35</v>
      </c>
      <c r="R314" t="s">
        <v>35</v>
      </c>
      <c r="S314" t="s">
        <v>35</v>
      </c>
      <c r="T314" t="s">
        <v>35</v>
      </c>
      <c r="U314" t="s">
        <v>35</v>
      </c>
      <c r="V314">
        <v>1</v>
      </c>
      <c r="W314">
        <v>0.1656</v>
      </c>
      <c r="X314">
        <v>0.73440000000000005</v>
      </c>
      <c r="Y314">
        <v>0.1</v>
      </c>
      <c r="Z314">
        <v>0</v>
      </c>
      <c r="AA314">
        <v>0</v>
      </c>
      <c r="AB314">
        <v>0.7</v>
      </c>
      <c r="AC314">
        <v>20</v>
      </c>
      <c r="AD314">
        <v>1000</v>
      </c>
      <c r="AE314">
        <v>20</v>
      </c>
      <c r="AF314">
        <v>1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f t="shared" si="13"/>
        <v>0.09</v>
      </c>
      <c r="AM314">
        <v>0.1535</v>
      </c>
    </row>
    <row r="315" spans="1:39" x14ac:dyDescent="0.25">
      <c r="A315" s="6" t="s">
        <v>227</v>
      </c>
      <c r="B315" t="s">
        <v>288</v>
      </c>
      <c r="C315">
        <v>150</v>
      </c>
      <c r="D315" t="s">
        <v>35</v>
      </c>
      <c r="E315" t="s">
        <v>35</v>
      </c>
      <c r="F315" t="s">
        <v>35</v>
      </c>
      <c r="G315" t="s">
        <v>35</v>
      </c>
      <c r="H315" t="s">
        <v>35</v>
      </c>
      <c r="I315" t="s">
        <v>35</v>
      </c>
      <c r="J315" t="s">
        <v>35</v>
      </c>
      <c r="K315">
        <v>0.61450000000000005</v>
      </c>
      <c r="L315" t="s">
        <v>35</v>
      </c>
      <c r="M315">
        <v>0.16520000000000001</v>
      </c>
      <c r="N315">
        <v>0.21820000000000001</v>
      </c>
      <c r="O315">
        <v>74</v>
      </c>
      <c r="P315">
        <v>0.66500000000000004</v>
      </c>
      <c r="Q315" t="s">
        <v>35</v>
      </c>
      <c r="R315" t="s">
        <v>35</v>
      </c>
      <c r="S315" t="s">
        <v>35</v>
      </c>
      <c r="T315" t="s">
        <v>35</v>
      </c>
      <c r="U315" t="s">
        <v>35</v>
      </c>
      <c r="V315">
        <v>1</v>
      </c>
      <c r="W315">
        <v>0.2195</v>
      </c>
      <c r="X315">
        <v>0.68049999999999999</v>
      </c>
      <c r="Y315">
        <v>0.1</v>
      </c>
      <c r="Z315">
        <v>0</v>
      </c>
      <c r="AA315">
        <v>0</v>
      </c>
      <c r="AB315">
        <v>0.7</v>
      </c>
      <c r="AC315">
        <v>20</v>
      </c>
      <c r="AD315">
        <v>1200</v>
      </c>
      <c r="AE315">
        <v>20</v>
      </c>
      <c r="AF315">
        <v>1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f t="shared" si="13"/>
        <v>0.09</v>
      </c>
      <c r="AM315">
        <v>0.91890000000000005</v>
      </c>
    </row>
    <row r="316" spans="1:39" x14ac:dyDescent="0.25">
      <c r="A316" s="6" t="s">
        <v>227</v>
      </c>
      <c r="B316" t="s">
        <v>288</v>
      </c>
      <c r="C316">
        <v>225</v>
      </c>
      <c r="D316" t="s">
        <v>35</v>
      </c>
      <c r="E316" t="s">
        <v>35</v>
      </c>
      <c r="F316" t="s">
        <v>35</v>
      </c>
      <c r="G316" t="s">
        <v>35</v>
      </c>
      <c r="H316" t="s">
        <v>35</v>
      </c>
      <c r="I316" t="s">
        <v>35</v>
      </c>
      <c r="J316" t="s">
        <v>35</v>
      </c>
      <c r="K316">
        <v>0.61450000000000005</v>
      </c>
      <c r="L316" t="s">
        <v>35</v>
      </c>
      <c r="M316">
        <v>0.16520000000000001</v>
      </c>
      <c r="N316">
        <v>0.21820000000000001</v>
      </c>
      <c r="O316">
        <v>74</v>
      </c>
      <c r="P316">
        <v>0.66500000000000004</v>
      </c>
      <c r="Q316" t="s">
        <v>35</v>
      </c>
      <c r="R316" t="s">
        <v>35</v>
      </c>
      <c r="S316" t="s">
        <v>35</v>
      </c>
      <c r="T316" t="s">
        <v>35</v>
      </c>
      <c r="U316" t="s">
        <v>35</v>
      </c>
      <c r="V316">
        <v>1</v>
      </c>
      <c r="W316">
        <v>0.2195</v>
      </c>
      <c r="X316">
        <v>0.68049999999999999</v>
      </c>
      <c r="Y316">
        <v>0.1</v>
      </c>
      <c r="Z316">
        <v>0</v>
      </c>
      <c r="AA316">
        <v>0</v>
      </c>
      <c r="AB316">
        <v>0.7</v>
      </c>
      <c r="AC316">
        <v>20</v>
      </c>
      <c r="AD316">
        <v>1200</v>
      </c>
      <c r="AE316">
        <v>20</v>
      </c>
      <c r="AF316">
        <v>1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f t="shared" si="13"/>
        <v>0.09</v>
      </c>
      <c r="AM316">
        <v>0.9254</v>
      </c>
    </row>
    <row r="317" spans="1:39" x14ac:dyDescent="0.25">
      <c r="A317" s="6" t="s">
        <v>227</v>
      </c>
      <c r="B317" t="s">
        <v>288</v>
      </c>
      <c r="C317">
        <v>650</v>
      </c>
      <c r="D317" t="s">
        <v>35</v>
      </c>
      <c r="E317" t="s">
        <v>35</v>
      </c>
      <c r="F317" t="s">
        <v>35</v>
      </c>
      <c r="G317" t="s">
        <v>35</v>
      </c>
      <c r="H317" t="s">
        <v>35</v>
      </c>
      <c r="I317" t="s">
        <v>35</v>
      </c>
      <c r="J317" t="s">
        <v>35</v>
      </c>
      <c r="K317">
        <v>0.61450000000000005</v>
      </c>
      <c r="L317" t="s">
        <v>35</v>
      </c>
      <c r="M317">
        <v>0.16520000000000001</v>
      </c>
      <c r="N317">
        <v>0.21820000000000001</v>
      </c>
      <c r="O317">
        <v>74</v>
      </c>
      <c r="P317">
        <v>0.66500000000000004</v>
      </c>
      <c r="Q317" t="s">
        <v>35</v>
      </c>
      <c r="R317" t="s">
        <v>35</v>
      </c>
      <c r="S317" t="s">
        <v>35</v>
      </c>
      <c r="T317" t="s">
        <v>35</v>
      </c>
      <c r="U317" t="s">
        <v>35</v>
      </c>
      <c r="V317">
        <v>1</v>
      </c>
      <c r="W317">
        <v>0.2195</v>
      </c>
      <c r="X317">
        <v>0.68049999999999999</v>
      </c>
      <c r="Y317">
        <v>0.1</v>
      </c>
      <c r="Z317">
        <v>0</v>
      </c>
      <c r="AA317">
        <v>0</v>
      </c>
      <c r="AB317">
        <v>0.7</v>
      </c>
      <c r="AC317">
        <v>20</v>
      </c>
      <c r="AD317">
        <v>1200</v>
      </c>
      <c r="AE317">
        <v>20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f t="shared" si="13"/>
        <v>0.09</v>
      </c>
      <c r="AM317">
        <v>0.91310000000000002</v>
      </c>
    </row>
    <row r="318" spans="1:39" x14ac:dyDescent="0.25">
      <c r="A318" s="6" t="s">
        <v>227</v>
      </c>
      <c r="B318" t="s">
        <v>288</v>
      </c>
      <c r="C318">
        <v>1500</v>
      </c>
      <c r="D318" t="s">
        <v>35</v>
      </c>
      <c r="E318" t="s">
        <v>35</v>
      </c>
      <c r="F318" t="s">
        <v>35</v>
      </c>
      <c r="G318" t="s">
        <v>35</v>
      </c>
      <c r="H318" t="s">
        <v>35</v>
      </c>
      <c r="I318" t="s">
        <v>35</v>
      </c>
      <c r="J318" t="s">
        <v>35</v>
      </c>
      <c r="K318">
        <v>0.61450000000000005</v>
      </c>
      <c r="L318" t="s">
        <v>35</v>
      </c>
      <c r="M318">
        <v>0.16520000000000001</v>
      </c>
      <c r="N318">
        <v>0.21820000000000001</v>
      </c>
      <c r="O318">
        <v>74</v>
      </c>
      <c r="P318">
        <v>0.66500000000000004</v>
      </c>
      <c r="Q318" t="s">
        <v>35</v>
      </c>
      <c r="R318" t="s">
        <v>35</v>
      </c>
      <c r="S318" t="s">
        <v>35</v>
      </c>
      <c r="T318" t="s">
        <v>35</v>
      </c>
      <c r="U318" t="s">
        <v>35</v>
      </c>
      <c r="V318">
        <v>1</v>
      </c>
      <c r="W318">
        <v>0.2195</v>
      </c>
      <c r="X318">
        <v>0.68049999999999999</v>
      </c>
      <c r="Y318">
        <v>0.1</v>
      </c>
      <c r="Z318">
        <v>0</v>
      </c>
      <c r="AA318">
        <v>0</v>
      </c>
      <c r="AB318">
        <v>0.7</v>
      </c>
      <c r="AC318">
        <v>20</v>
      </c>
      <c r="AD318">
        <v>1200</v>
      </c>
      <c r="AE318">
        <v>20</v>
      </c>
      <c r="AF318">
        <v>1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f t="shared" si="13"/>
        <v>0.09</v>
      </c>
      <c r="AM318">
        <v>0.90259999999999996</v>
      </c>
    </row>
    <row r="319" spans="1:39" x14ac:dyDescent="0.25">
      <c r="A319" s="6" t="s">
        <v>227</v>
      </c>
      <c r="B319" t="s">
        <v>276</v>
      </c>
      <c r="C319">
        <v>150</v>
      </c>
      <c r="D319" t="s">
        <v>35</v>
      </c>
      <c r="E319" t="s">
        <v>35</v>
      </c>
      <c r="F319" t="s">
        <v>35</v>
      </c>
      <c r="G319" t="s">
        <v>35</v>
      </c>
      <c r="H319" t="s">
        <v>35</v>
      </c>
      <c r="I319" t="s">
        <v>35</v>
      </c>
      <c r="J319" t="s">
        <v>35</v>
      </c>
      <c r="K319">
        <v>0.61450000000000005</v>
      </c>
      <c r="L319" t="s">
        <v>35</v>
      </c>
      <c r="M319">
        <v>0.16520000000000001</v>
      </c>
      <c r="N319">
        <v>0.21820000000000001</v>
      </c>
      <c r="O319">
        <v>74</v>
      </c>
      <c r="P319">
        <v>0.66500000000000004</v>
      </c>
      <c r="Q319" t="s">
        <v>35</v>
      </c>
      <c r="R319" t="s">
        <v>35</v>
      </c>
      <c r="S319" t="s">
        <v>35</v>
      </c>
      <c r="T319" t="s">
        <v>35</v>
      </c>
      <c r="U319" t="s">
        <v>35</v>
      </c>
      <c r="V319">
        <v>1</v>
      </c>
      <c r="W319">
        <v>0.2195</v>
      </c>
      <c r="X319">
        <v>0.68049999999999999</v>
      </c>
      <c r="Y319">
        <v>0.1</v>
      </c>
      <c r="Z319">
        <v>0</v>
      </c>
      <c r="AA319">
        <v>0</v>
      </c>
      <c r="AB319">
        <v>0.7</v>
      </c>
      <c r="AC319">
        <v>20</v>
      </c>
      <c r="AD319">
        <v>1000</v>
      </c>
      <c r="AE319">
        <v>20</v>
      </c>
      <c r="AF319">
        <v>1</v>
      </c>
      <c r="AG319">
        <v>0</v>
      </c>
      <c r="AH319">
        <v>0</v>
      </c>
      <c r="AI319">
        <v>0</v>
      </c>
      <c r="AJ319">
        <v>0</v>
      </c>
      <c r="AK319">
        <v>1</v>
      </c>
      <c r="AL319">
        <f t="shared" si="13"/>
        <v>0.09</v>
      </c>
      <c r="AM319">
        <v>0.33889999999999998</v>
      </c>
    </row>
    <row r="320" spans="1:39" x14ac:dyDescent="0.25">
      <c r="A320" s="6" t="s">
        <v>227</v>
      </c>
      <c r="B320" t="s">
        <v>276</v>
      </c>
      <c r="C320">
        <v>225</v>
      </c>
      <c r="D320" t="s">
        <v>35</v>
      </c>
      <c r="E320" t="s">
        <v>35</v>
      </c>
      <c r="F320" t="s">
        <v>35</v>
      </c>
      <c r="G320" t="s">
        <v>35</v>
      </c>
      <c r="H320" t="s">
        <v>35</v>
      </c>
      <c r="I320" t="s">
        <v>35</v>
      </c>
      <c r="J320" t="s">
        <v>35</v>
      </c>
      <c r="K320">
        <v>0.61450000000000005</v>
      </c>
      <c r="L320" t="s">
        <v>35</v>
      </c>
      <c r="M320">
        <v>0.16520000000000001</v>
      </c>
      <c r="N320">
        <v>0.21820000000000001</v>
      </c>
      <c r="O320">
        <v>74</v>
      </c>
      <c r="P320">
        <v>0.66500000000000004</v>
      </c>
      <c r="Q320" t="s">
        <v>35</v>
      </c>
      <c r="R320" t="s">
        <v>35</v>
      </c>
      <c r="S320" t="s">
        <v>35</v>
      </c>
      <c r="T320" t="s">
        <v>35</v>
      </c>
      <c r="U320" t="s">
        <v>35</v>
      </c>
      <c r="V320">
        <v>1</v>
      </c>
      <c r="W320">
        <v>0.2195</v>
      </c>
      <c r="X320">
        <v>0.68049999999999999</v>
      </c>
      <c r="Y320">
        <v>0.1</v>
      </c>
      <c r="Z320">
        <v>0</v>
      </c>
      <c r="AA320">
        <v>0</v>
      </c>
      <c r="AB320">
        <v>0.7</v>
      </c>
      <c r="AC320">
        <v>20</v>
      </c>
      <c r="AD320">
        <v>1000</v>
      </c>
      <c r="AE320">
        <v>20</v>
      </c>
      <c r="AF320">
        <v>1</v>
      </c>
      <c r="AG320">
        <v>0</v>
      </c>
      <c r="AH320">
        <v>0</v>
      </c>
      <c r="AI320">
        <v>0</v>
      </c>
      <c r="AJ320">
        <v>0</v>
      </c>
      <c r="AK320">
        <v>1</v>
      </c>
      <c r="AL320">
        <f t="shared" si="13"/>
        <v>0.09</v>
      </c>
      <c r="AM320">
        <v>0.33950000000000002</v>
      </c>
    </row>
    <row r="321" spans="1:39" x14ac:dyDescent="0.25">
      <c r="A321" s="6" t="s">
        <v>227</v>
      </c>
      <c r="B321" t="s">
        <v>276</v>
      </c>
      <c r="C321">
        <v>650</v>
      </c>
      <c r="D321" t="s">
        <v>35</v>
      </c>
      <c r="E321" t="s">
        <v>35</v>
      </c>
      <c r="F321" t="s">
        <v>35</v>
      </c>
      <c r="G321" t="s">
        <v>35</v>
      </c>
      <c r="H321" t="s">
        <v>35</v>
      </c>
      <c r="I321" t="s">
        <v>35</v>
      </c>
      <c r="J321" t="s">
        <v>35</v>
      </c>
      <c r="K321">
        <v>0.61450000000000005</v>
      </c>
      <c r="L321" t="s">
        <v>35</v>
      </c>
      <c r="M321">
        <v>0.16520000000000001</v>
      </c>
      <c r="N321">
        <v>0.21820000000000001</v>
      </c>
      <c r="O321">
        <v>74</v>
      </c>
      <c r="P321">
        <v>0.66500000000000004</v>
      </c>
      <c r="Q321" t="s">
        <v>35</v>
      </c>
      <c r="R321" t="s">
        <v>35</v>
      </c>
      <c r="S321" t="s">
        <v>35</v>
      </c>
      <c r="T321" t="s">
        <v>35</v>
      </c>
      <c r="U321" t="s">
        <v>35</v>
      </c>
      <c r="V321">
        <v>1</v>
      </c>
      <c r="W321">
        <v>0.2195</v>
      </c>
      <c r="X321">
        <v>0.68049999999999999</v>
      </c>
      <c r="Y321">
        <v>0.1</v>
      </c>
      <c r="Z321">
        <v>0</v>
      </c>
      <c r="AA321">
        <v>0</v>
      </c>
      <c r="AB321">
        <v>0.7</v>
      </c>
      <c r="AC321">
        <v>20</v>
      </c>
      <c r="AD321">
        <v>1000</v>
      </c>
      <c r="AE321">
        <v>20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1</v>
      </c>
      <c r="AL321">
        <f t="shared" si="13"/>
        <v>0.09</v>
      </c>
      <c r="AM321">
        <v>0.3508</v>
      </c>
    </row>
    <row r="322" spans="1:39" x14ac:dyDescent="0.25">
      <c r="A322" s="6" t="s">
        <v>227</v>
      </c>
      <c r="B322" t="s">
        <v>276</v>
      </c>
      <c r="C322">
        <v>1500</v>
      </c>
      <c r="D322" t="s">
        <v>35</v>
      </c>
      <c r="E322" t="s">
        <v>35</v>
      </c>
      <c r="F322" t="s">
        <v>35</v>
      </c>
      <c r="G322" t="s">
        <v>35</v>
      </c>
      <c r="H322" t="s">
        <v>35</v>
      </c>
      <c r="I322" t="s">
        <v>35</v>
      </c>
      <c r="J322" t="s">
        <v>35</v>
      </c>
      <c r="K322">
        <v>0.61450000000000005</v>
      </c>
      <c r="L322" t="s">
        <v>35</v>
      </c>
      <c r="M322">
        <v>0.16520000000000001</v>
      </c>
      <c r="N322">
        <v>0.21820000000000001</v>
      </c>
      <c r="O322">
        <v>74</v>
      </c>
      <c r="P322">
        <v>0.66500000000000004</v>
      </c>
      <c r="Q322" t="s">
        <v>35</v>
      </c>
      <c r="R322" t="s">
        <v>35</v>
      </c>
      <c r="S322" t="s">
        <v>35</v>
      </c>
      <c r="T322" t="s">
        <v>35</v>
      </c>
      <c r="U322" t="s">
        <v>35</v>
      </c>
      <c r="V322">
        <v>1</v>
      </c>
      <c r="W322">
        <v>0.2195</v>
      </c>
      <c r="X322">
        <v>0.68049999999999999</v>
      </c>
      <c r="Y322">
        <v>0.1</v>
      </c>
      <c r="Z322">
        <v>0</v>
      </c>
      <c r="AA322">
        <v>0</v>
      </c>
      <c r="AB322">
        <v>0.7</v>
      </c>
      <c r="AC322">
        <v>20</v>
      </c>
      <c r="AD322">
        <v>1000</v>
      </c>
      <c r="AE322">
        <v>20</v>
      </c>
      <c r="AF322">
        <v>1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f t="shared" si="13"/>
        <v>0.09</v>
      </c>
      <c r="AM322">
        <v>0.36990000000000001</v>
      </c>
    </row>
    <row r="323" spans="1:39" x14ac:dyDescent="0.25">
      <c r="A323" s="6" t="s">
        <v>309</v>
      </c>
      <c r="B323" t="s">
        <v>310</v>
      </c>
      <c r="C323" t="s">
        <v>35</v>
      </c>
      <c r="D323" t="s">
        <v>35</v>
      </c>
      <c r="E323" t="s">
        <v>35</v>
      </c>
      <c r="F323">
        <v>0.70569999999999999</v>
      </c>
      <c r="G323">
        <v>2.2499999999999999E-2</v>
      </c>
      <c r="H323">
        <v>1.01E-2</v>
      </c>
      <c r="I323">
        <v>2.9999999999999997E-4</v>
      </c>
      <c r="J323">
        <v>0.26140000000000002</v>
      </c>
      <c r="K323">
        <v>0.66820000000000002</v>
      </c>
      <c r="L323">
        <v>6.1800000000000001E-2</v>
      </c>
      <c r="M323">
        <v>0.16850000000000001</v>
      </c>
      <c r="N323">
        <v>0.1633</v>
      </c>
      <c r="O323">
        <v>100</v>
      </c>
      <c r="P323">
        <v>0.59099999999999997</v>
      </c>
      <c r="Q323" t="s">
        <v>35</v>
      </c>
      <c r="R323" t="s">
        <v>35</v>
      </c>
      <c r="S323" t="s">
        <v>35</v>
      </c>
      <c r="T323">
        <v>470</v>
      </c>
      <c r="U323" t="s">
        <v>35</v>
      </c>
      <c r="V323">
        <v>1.1854</v>
      </c>
      <c r="W323">
        <v>0.1</v>
      </c>
      <c r="X323">
        <v>0.9</v>
      </c>
      <c r="Y323" t="s">
        <v>35</v>
      </c>
      <c r="Z323">
        <v>0</v>
      </c>
      <c r="AA323">
        <v>0</v>
      </c>
      <c r="AB323" t="s">
        <v>35</v>
      </c>
      <c r="AC323">
        <v>20</v>
      </c>
      <c r="AD323">
        <v>600</v>
      </c>
      <c r="AE323">
        <v>30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f t="shared" ref="AL323:AL338" si="14">5*60/(1000000)</f>
        <v>2.9999999999999997E-4</v>
      </c>
      <c r="AM323" t="s">
        <v>35</v>
      </c>
    </row>
    <row r="324" spans="1:39" x14ac:dyDescent="0.25">
      <c r="A324" s="6" t="s">
        <v>309</v>
      </c>
      <c r="B324" t="s">
        <v>310</v>
      </c>
      <c r="C324" t="s">
        <v>35</v>
      </c>
      <c r="D324" t="s">
        <v>35</v>
      </c>
      <c r="E324" t="s">
        <v>35</v>
      </c>
      <c r="F324">
        <v>0.70569999999999999</v>
      </c>
      <c r="G324">
        <v>2.2499999999999999E-2</v>
      </c>
      <c r="H324">
        <v>1.01E-2</v>
      </c>
      <c r="I324">
        <v>2.9999999999999997E-4</v>
      </c>
      <c r="J324">
        <v>0.26140000000000002</v>
      </c>
      <c r="K324">
        <v>0.66820000000000002</v>
      </c>
      <c r="L324">
        <v>6.1800000000000001E-2</v>
      </c>
      <c r="M324">
        <v>0.16850000000000001</v>
      </c>
      <c r="N324">
        <v>0.1633</v>
      </c>
      <c r="O324">
        <v>100</v>
      </c>
      <c r="P324">
        <v>0.59099999999999997</v>
      </c>
      <c r="Q324" t="s">
        <v>35</v>
      </c>
      <c r="R324" t="s">
        <v>35</v>
      </c>
      <c r="S324" t="s">
        <v>35</v>
      </c>
      <c r="T324">
        <v>470</v>
      </c>
      <c r="U324" t="s">
        <v>35</v>
      </c>
      <c r="V324">
        <v>1.1854</v>
      </c>
      <c r="W324">
        <v>0.1</v>
      </c>
      <c r="X324">
        <v>0.9</v>
      </c>
      <c r="Y324" t="s">
        <v>35</v>
      </c>
      <c r="Z324">
        <v>0</v>
      </c>
      <c r="AA324">
        <v>0</v>
      </c>
      <c r="AB324" t="s">
        <v>35</v>
      </c>
      <c r="AC324">
        <v>20</v>
      </c>
      <c r="AD324">
        <v>600</v>
      </c>
      <c r="AE324">
        <v>60</v>
      </c>
      <c r="AF324">
        <v>1</v>
      </c>
      <c r="AG324">
        <v>0</v>
      </c>
      <c r="AH324">
        <v>0</v>
      </c>
      <c r="AI324">
        <v>0</v>
      </c>
      <c r="AJ324">
        <v>0</v>
      </c>
      <c r="AK324">
        <v>1</v>
      </c>
      <c r="AL324">
        <f t="shared" si="14"/>
        <v>2.9999999999999997E-4</v>
      </c>
      <c r="AM324" t="s">
        <v>35</v>
      </c>
    </row>
    <row r="325" spans="1:39" x14ac:dyDescent="0.25">
      <c r="A325" s="6" t="s">
        <v>309</v>
      </c>
      <c r="B325" t="s">
        <v>310</v>
      </c>
      <c r="C325" t="s">
        <v>35</v>
      </c>
      <c r="D325" t="s">
        <v>35</v>
      </c>
      <c r="E325" t="s">
        <v>35</v>
      </c>
      <c r="F325">
        <v>0.70569999999999999</v>
      </c>
      <c r="G325">
        <v>2.2499999999999999E-2</v>
      </c>
      <c r="H325">
        <v>1.01E-2</v>
      </c>
      <c r="I325">
        <v>2.9999999999999997E-4</v>
      </c>
      <c r="J325">
        <v>0.26140000000000002</v>
      </c>
      <c r="K325">
        <v>0.66820000000000002</v>
      </c>
      <c r="L325">
        <v>6.1800000000000001E-2</v>
      </c>
      <c r="M325">
        <v>0.16850000000000001</v>
      </c>
      <c r="N325">
        <v>0.1633</v>
      </c>
      <c r="O325">
        <v>100</v>
      </c>
      <c r="P325">
        <v>0.59099999999999997</v>
      </c>
      <c r="Q325" t="s">
        <v>35</v>
      </c>
      <c r="R325" t="s">
        <v>35</v>
      </c>
      <c r="S325" t="s">
        <v>35</v>
      </c>
      <c r="T325">
        <v>470</v>
      </c>
      <c r="U325" t="s">
        <v>35</v>
      </c>
      <c r="V325">
        <v>1.1854</v>
      </c>
      <c r="W325">
        <v>0.1</v>
      </c>
      <c r="X325">
        <v>0.9</v>
      </c>
      <c r="Y325" t="s">
        <v>35</v>
      </c>
      <c r="Z325">
        <v>0</v>
      </c>
      <c r="AA325">
        <v>0</v>
      </c>
      <c r="AB325" t="s">
        <v>35</v>
      </c>
      <c r="AC325">
        <v>20</v>
      </c>
      <c r="AD325">
        <v>600</v>
      </c>
      <c r="AE325">
        <v>90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1</v>
      </c>
      <c r="AL325">
        <f t="shared" si="14"/>
        <v>2.9999999999999997E-4</v>
      </c>
      <c r="AM325" t="s">
        <v>35</v>
      </c>
    </row>
    <row r="326" spans="1:39" x14ac:dyDescent="0.25">
      <c r="A326" s="6" t="s">
        <v>309</v>
      </c>
      <c r="B326" t="s">
        <v>310</v>
      </c>
      <c r="C326" t="s">
        <v>35</v>
      </c>
      <c r="D326" t="s">
        <v>35</v>
      </c>
      <c r="E326" t="s">
        <v>35</v>
      </c>
      <c r="F326">
        <v>0.70569999999999999</v>
      </c>
      <c r="G326">
        <v>2.2499999999999999E-2</v>
      </c>
      <c r="H326">
        <v>1.01E-2</v>
      </c>
      <c r="I326">
        <v>2.9999999999999997E-4</v>
      </c>
      <c r="J326">
        <v>0.26140000000000002</v>
      </c>
      <c r="K326">
        <v>0.66820000000000002</v>
      </c>
      <c r="L326">
        <v>6.1800000000000001E-2</v>
      </c>
      <c r="M326">
        <v>0.16850000000000001</v>
      </c>
      <c r="N326">
        <v>0.1633</v>
      </c>
      <c r="O326">
        <v>100</v>
      </c>
      <c r="P326">
        <v>0.59099999999999997</v>
      </c>
      <c r="Q326" t="s">
        <v>35</v>
      </c>
      <c r="R326" t="s">
        <v>35</v>
      </c>
      <c r="S326" t="s">
        <v>35</v>
      </c>
      <c r="T326">
        <v>470</v>
      </c>
      <c r="U326" t="s">
        <v>35</v>
      </c>
      <c r="V326">
        <v>1.1854</v>
      </c>
      <c r="W326">
        <v>0.1</v>
      </c>
      <c r="X326">
        <v>0.9</v>
      </c>
      <c r="Y326" t="s">
        <v>35</v>
      </c>
      <c r="Z326">
        <v>0</v>
      </c>
      <c r="AA326">
        <v>0</v>
      </c>
      <c r="AB326" t="s">
        <v>35</v>
      </c>
      <c r="AC326">
        <v>20</v>
      </c>
      <c r="AD326">
        <v>600</v>
      </c>
      <c r="AE326">
        <v>120</v>
      </c>
      <c r="AF326">
        <v>1</v>
      </c>
      <c r="AG326">
        <v>0</v>
      </c>
      <c r="AH326">
        <v>0</v>
      </c>
      <c r="AI326">
        <v>0</v>
      </c>
      <c r="AJ326">
        <v>0</v>
      </c>
      <c r="AK326">
        <v>1</v>
      </c>
      <c r="AL326">
        <f t="shared" si="14"/>
        <v>2.9999999999999997E-4</v>
      </c>
      <c r="AM326" t="s">
        <v>35</v>
      </c>
    </row>
    <row r="327" spans="1:39" x14ac:dyDescent="0.25">
      <c r="A327" s="6" t="s">
        <v>309</v>
      </c>
      <c r="B327" t="s">
        <v>310</v>
      </c>
      <c r="C327" t="s">
        <v>35</v>
      </c>
      <c r="D327" t="s">
        <v>35</v>
      </c>
      <c r="E327" t="s">
        <v>35</v>
      </c>
      <c r="F327">
        <v>0.70569999999999999</v>
      </c>
      <c r="G327">
        <v>2.2499999999999999E-2</v>
      </c>
      <c r="H327">
        <v>1.01E-2</v>
      </c>
      <c r="I327">
        <v>2.9999999999999997E-4</v>
      </c>
      <c r="J327">
        <v>0.26140000000000002</v>
      </c>
      <c r="K327">
        <v>0.66820000000000002</v>
      </c>
      <c r="L327">
        <v>6.1800000000000001E-2</v>
      </c>
      <c r="M327">
        <v>0.16850000000000001</v>
      </c>
      <c r="N327">
        <v>0.1633</v>
      </c>
      <c r="O327">
        <v>100</v>
      </c>
      <c r="P327">
        <v>0.59099999999999997</v>
      </c>
      <c r="Q327" t="s">
        <v>35</v>
      </c>
      <c r="R327" t="s">
        <v>35</v>
      </c>
      <c r="S327" t="s">
        <v>35</v>
      </c>
      <c r="T327">
        <v>470</v>
      </c>
      <c r="U327" t="s">
        <v>35</v>
      </c>
      <c r="V327">
        <v>1.1854</v>
      </c>
      <c r="W327">
        <v>0.1</v>
      </c>
      <c r="X327">
        <v>0.9</v>
      </c>
      <c r="Y327" t="s">
        <v>35</v>
      </c>
      <c r="Z327">
        <v>0</v>
      </c>
      <c r="AA327">
        <v>0</v>
      </c>
      <c r="AB327" t="s">
        <v>35</v>
      </c>
      <c r="AC327">
        <v>20</v>
      </c>
      <c r="AD327">
        <v>700</v>
      </c>
      <c r="AE327">
        <v>30</v>
      </c>
      <c r="AF327">
        <v>1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f t="shared" si="14"/>
        <v>2.9999999999999997E-4</v>
      </c>
      <c r="AM327" t="s">
        <v>35</v>
      </c>
    </row>
    <row r="328" spans="1:39" x14ac:dyDescent="0.25">
      <c r="A328" s="6" t="s">
        <v>309</v>
      </c>
      <c r="B328" t="s">
        <v>310</v>
      </c>
      <c r="C328" t="s">
        <v>35</v>
      </c>
      <c r="D328" t="s">
        <v>35</v>
      </c>
      <c r="E328" t="s">
        <v>35</v>
      </c>
      <c r="F328">
        <v>0.70569999999999999</v>
      </c>
      <c r="G328">
        <v>2.2499999999999999E-2</v>
      </c>
      <c r="H328">
        <v>1.01E-2</v>
      </c>
      <c r="I328">
        <v>2.9999999999999997E-4</v>
      </c>
      <c r="J328">
        <v>0.26140000000000002</v>
      </c>
      <c r="K328">
        <v>0.66820000000000002</v>
      </c>
      <c r="L328">
        <v>6.1800000000000001E-2</v>
      </c>
      <c r="M328">
        <v>0.16850000000000001</v>
      </c>
      <c r="N328">
        <v>0.1633</v>
      </c>
      <c r="O328">
        <v>100</v>
      </c>
      <c r="P328">
        <v>0.59099999999999997</v>
      </c>
      <c r="Q328" t="s">
        <v>35</v>
      </c>
      <c r="R328" t="s">
        <v>35</v>
      </c>
      <c r="S328" t="s">
        <v>35</v>
      </c>
      <c r="T328">
        <v>470</v>
      </c>
      <c r="U328" t="s">
        <v>35</v>
      </c>
      <c r="V328">
        <v>1.1854</v>
      </c>
      <c r="W328">
        <v>0.1</v>
      </c>
      <c r="X328">
        <v>0.9</v>
      </c>
      <c r="Y328" t="s">
        <v>35</v>
      </c>
      <c r="Z328">
        <v>0</v>
      </c>
      <c r="AA328">
        <v>0</v>
      </c>
      <c r="AB328" t="s">
        <v>35</v>
      </c>
      <c r="AC328">
        <v>20</v>
      </c>
      <c r="AD328">
        <v>700</v>
      </c>
      <c r="AE328">
        <v>60</v>
      </c>
      <c r="AF328">
        <v>1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f t="shared" si="14"/>
        <v>2.9999999999999997E-4</v>
      </c>
      <c r="AM328" t="s">
        <v>35</v>
      </c>
    </row>
    <row r="329" spans="1:39" x14ac:dyDescent="0.25">
      <c r="A329" s="6" t="s">
        <v>309</v>
      </c>
      <c r="B329" t="s">
        <v>310</v>
      </c>
      <c r="C329" t="s">
        <v>35</v>
      </c>
      <c r="D329" t="s">
        <v>35</v>
      </c>
      <c r="E329" t="s">
        <v>35</v>
      </c>
      <c r="F329">
        <v>0.70569999999999999</v>
      </c>
      <c r="G329">
        <v>2.2499999999999999E-2</v>
      </c>
      <c r="H329">
        <v>1.01E-2</v>
      </c>
      <c r="I329">
        <v>2.9999999999999997E-4</v>
      </c>
      <c r="J329">
        <v>0.26140000000000002</v>
      </c>
      <c r="K329">
        <v>0.66820000000000002</v>
      </c>
      <c r="L329">
        <v>6.1800000000000001E-2</v>
      </c>
      <c r="M329">
        <v>0.16850000000000001</v>
      </c>
      <c r="N329">
        <v>0.1633</v>
      </c>
      <c r="O329">
        <v>100</v>
      </c>
      <c r="P329">
        <v>0.59099999999999997</v>
      </c>
      <c r="Q329" t="s">
        <v>35</v>
      </c>
      <c r="R329" t="s">
        <v>35</v>
      </c>
      <c r="S329" t="s">
        <v>35</v>
      </c>
      <c r="T329">
        <v>470</v>
      </c>
      <c r="U329" t="s">
        <v>35</v>
      </c>
      <c r="V329">
        <v>1.1854</v>
      </c>
      <c r="W329">
        <v>0.1</v>
      </c>
      <c r="X329">
        <v>0.9</v>
      </c>
      <c r="Y329" t="s">
        <v>35</v>
      </c>
      <c r="Z329">
        <v>0</v>
      </c>
      <c r="AA329">
        <v>0</v>
      </c>
      <c r="AB329" t="s">
        <v>35</v>
      </c>
      <c r="AC329">
        <v>20</v>
      </c>
      <c r="AD329">
        <v>700</v>
      </c>
      <c r="AE329">
        <v>90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1</v>
      </c>
      <c r="AL329">
        <f t="shared" si="14"/>
        <v>2.9999999999999997E-4</v>
      </c>
      <c r="AM329" t="s">
        <v>35</v>
      </c>
    </row>
    <row r="330" spans="1:39" x14ac:dyDescent="0.25">
      <c r="A330" s="6" t="s">
        <v>309</v>
      </c>
      <c r="B330" t="s">
        <v>310</v>
      </c>
      <c r="C330" t="s">
        <v>35</v>
      </c>
      <c r="D330" t="s">
        <v>35</v>
      </c>
      <c r="E330" t="s">
        <v>35</v>
      </c>
      <c r="F330">
        <v>0.70569999999999999</v>
      </c>
      <c r="G330">
        <v>2.2499999999999999E-2</v>
      </c>
      <c r="H330">
        <v>1.01E-2</v>
      </c>
      <c r="I330">
        <v>2.9999999999999997E-4</v>
      </c>
      <c r="J330">
        <v>0.26140000000000002</v>
      </c>
      <c r="K330">
        <v>0.66820000000000002</v>
      </c>
      <c r="L330">
        <v>6.1800000000000001E-2</v>
      </c>
      <c r="M330">
        <v>0.16850000000000001</v>
      </c>
      <c r="N330">
        <v>0.1633</v>
      </c>
      <c r="O330">
        <v>100</v>
      </c>
      <c r="P330">
        <v>0.59099999999999997</v>
      </c>
      <c r="Q330" t="s">
        <v>35</v>
      </c>
      <c r="R330" t="s">
        <v>35</v>
      </c>
      <c r="S330" t="s">
        <v>35</v>
      </c>
      <c r="T330">
        <v>470</v>
      </c>
      <c r="U330" t="s">
        <v>35</v>
      </c>
      <c r="V330">
        <v>1.1854</v>
      </c>
      <c r="W330">
        <v>0.1</v>
      </c>
      <c r="X330">
        <v>0.9</v>
      </c>
      <c r="Y330" t="s">
        <v>35</v>
      </c>
      <c r="Z330">
        <v>0</v>
      </c>
      <c r="AA330">
        <v>0</v>
      </c>
      <c r="AB330" t="s">
        <v>35</v>
      </c>
      <c r="AC330">
        <v>20</v>
      </c>
      <c r="AD330">
        <v>700</v>
      </c>
      <c r="AE330">
        <v>120</v>
      </c>
      <c r="AF330">
        <v>1</v>
      </c>
      <c r="AG330">
        <v>0</v>
      </c>
      <c r="AH330">
        <v>0</v>
      </c>
      <c r="AI330">
        <v>0</v>
      </c>
      <c r="AJ330">
        <v>0</v>
      </c>
      <c r="AK330">
        <v>1</v>
      </c>
      <c r="AL330">
        <f t="shared" si="14"/>
        <v>2.9999999999999997E-4</v>
      </c>
      <c r="AM330" t="s">
        <v>35</v>
      </c>
    </row>
    <row r="331" spans="1:39" x14ac:dyDescent="0.25">
      <c r="A331" s="6" t="s">
        <v>309</v>
      </c>
      <c r="B331" t="s">
        <v>310</v>
      </c>
      <c r="C331" t="s">
        <v>35</v>
      </c>
      <c r="D331" t="s">
        <v>35</v>
      </c>
      <c r="E331" t="s">
        <v>35</v>
      </c>
      <c r="F331">
        <v>0.70569999999999999</v>
      </c>
      <c r="G331">
        <v>2.2499999999999999E-2</v>
      </c>
      <c r="H331">
        <v>1.01E-2</v>
      </c>
      <c r="I331">
        <v>2.9999999999999997E-4</v>
      </c>
      <c r="J331">
        <v>0.26140000000000002</v>
      </c>
      <c r="K331">
        <v>0.66820000000000002</v>
      </c>
      <c r="L331">
        <v>6.1800000000000001E-2</v>
      </c>
      <c r="M331">
        <v>0.16850000000000001</v>
      </c>
      <c r="N331">
        <v>0.1633</v>
      </c>
      <c r="O331">
        <v>100</v>
      </c>
      <c r="P331">
        <v>0.59099999999999997</v>
      </c>
      <c r="Q331" t="s">
        <v>35</v>
      </c>
      <c r="R331" t="s">
        <v>35</v>
      </c>
      <c r="S331" t="s">
        <v>35</v>
      </c>
      <c r="T331">
        <v>470</v>
      </c>
      <c r="U331" t="s">
        <v>35</v>
      </c>
      <c r="V331">
        <v>1.1854</v>
      </c>
      <c r="W331">
        <v>0.1</v>
      </c>
      <c r="X331">
        <v>0.9</v>
      </c>
      <c r="Y331" t="s">
        <v>35</v>
      </c>
      <c r="Z331">
        <v>0</v>
      </c>
      <c r="AA331">
        <v>0</v>
      </c>
      <c r="AB331" t="s">
        <v>35</v>
      </c>
      <c r="AC331">
        <v>20</v>
      </c>
      <c r="AD331">
        <v>800</v>
      </c>
      <c r="AE331">
        <v>30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f t="shared" si="14"/>
        <v>2.9999999999999997E-4</v>
      </c>
      <c r="AM331" t="s">
        <v>35</v>
      </c>
    </row>
    <row r="332" spans="1:39" x14ac:dyDescent="0.25">
      <c r="A332" s="6" t="s">
        <v>309</v>
      </c>
      <c r="B332" t="s">
        <v>310</v>
      </c>
      <c r="C332" t="s">
        <v>35</v>
      </c>
      <c r="D332" t="s">
        <v>35</v>
      </c>
      <c r="E332" t="s">
        <v>35</v>
      </c>
      <c r="F332">
        <v>0.70569999999999999</v>
      </c>
      <c r="G332">
        <v>2.2499999999999999E-2</v>
      </c>
      <c r="H332">
        <v>1.01E-2</v>
      </c>
      <c r="I332">
        <v>2.9999999999999997E-4</v>
      </c>
      <c r="J332">
        <v>0.26140000000000002</v>
      </c>
      <c r="K332">
        <v>0.66820000000000002</v>
      </c>
      <c r="L332">
        <v>6.1800000000000001E-2</v>
      </c>
      <c r="M332">
        <v>0.16850000000000001</v>
      </c>
      <c r="N332">
        <v>0.1633</v>
      </c>
      <c r="O332">
        <v>100</v>
      </c>
      <c r="P332">
        <v>0.59099999999999997</v>
      </c>
      <c r="Q332" t="s">
        <v>35</v>
      </c>
      <c r="R332" t="s">
        <v>35</v>
      </c>
      <c r="S332" t="s">
        <v>35</v>
      </c>
      <c r="T332">
        <v>470</v>
      </c>
      <c r="U332" t="s">
        <v>35</v>
      </c>
      <c r="V332">
        <v>1.1854</v>
      </c>
      <c r="W332">
        <v>0.1</v>
      </c>
      <c r="X332">
        <v>0.9</v>
      </c>
      <c r="Y332" t="s">
        <v>35</v>
      </c>
      <c r="Z332">
        <v>0</v>
      </c>
      <c r="AA332">
        <v>0</v>
      </c>
      <c r="AB332" t="s">
        <v>35</v>
      </c>
      <c r="AC332">
        <v>20</v>
      </c>
      <c r="AD332">
        <v>800</v>
      </c>
      <c r="AE332">
        <v>60</v>
      </c>
      <c r="AF332">
        <v>1</v>
      </c>
      <c r="AG332">
        <v>0</v>
      </c>
      <c r="AH332">
        <v>0</v>
      </c>
      <c r="AI332">
        <v>0</v>
      </c>
      <c r="AJ332">
        <v>0</v>
      </c>
      <c r="AK332">
        <v>1</v>
      </c>
      <c r="AL332">
        <f t="shared" si="14"/>
        <v>2.9999999999999997E-4</v>
      </c>
      <c r="AM332" t="s">
        <v>35</v>
      </c>
    </row>
    <row r="333" spans="1:39" x14ac:dyDescent="0.25">
      <c r="A333" s="6" t="s">
        <v>309</v>
      </c>
      <c r="B333" t="s">
        <v>310</v>
      </c>
      <c r="C333" t="s">
        <v>35</v>
      </c>
      <c r="D333" t="s">
        <v>35</v>
      </c>
      <c r="E333" t="s">
        <v>35</v>
      </c>
      <c r="F333">
        <v>0.70569999999999999</v>
      </c>
      <c r="G333">
        <v>2.2499999999999999E-2</v>
      </c>
      <c r="H333">
        <v>1.01E-2</v>
      </c>
      <c r="I333">
        <v>2.9999999999999997E-4</v>
      </c>
      <c r="J333">
        <v>0.26140000000000002</v>
      </c>
      <c r="K333">
        <v>0.66820000000000002</v>
      </c>
      <c r="L333">
        <v>6.1800000000000001E-2</v>
      </c>
      <c r="M333">
        <v>0.16850000000000001</v>
      </c>
      <c r="N333">
        <v>0.1633</v>
      </c>
      <c r="O333">
        <v>100</v>
      </c>
      <c r="P333">
        <v>0.59099999999999997</v>
      </c>
      <c r="Q333" t="s">
        <v>35</v>
      </c>
      <c r="R333" t="s">
        <v>35</v>
      </c>
      <c r="S333" t="s">
        <v>35</v>
      </c>
      <c r="T333">
        <v>470</v>
      </c>
      <c r="U333" t="s">
        <v>35</v>
      </c>
      <c r="V333">
        <v>1.1854</v>
      </c>
      <c r="W333">
        <v>0.1</v>
      </c>
      <c r="X333">
        <v>0.9</v>
      </c>
      <c r="Y333" t="s">
        <v>35</v>
      </c>
      <c r="Z333">
        <v>0</v>
      </c>
      <c r="AA333">
        <v>0</v>
      </c>
      <c r="AB333" t="s">
        <v>35</v>
      </c>
      <c r="AC333">
        <v>20</v>
      </c>
      <c r="AD333">
        <v>800</v>
      </c>
      <c r="AE333">
        <v>90</v>
      </c>
      <c r="AF333">
        <v>1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f t="shared" si="14"/>
        <v>2.9999999999999997E-4</v>
      </c>
      <c r="AM333" t="s">
        <v>35</v>
      </c>
    </row>
    <row r="334" spans="1:39" x14ac:dyDescent="0.25">
      <c r="A334" s="6" t="s">
        <v>309</v>
      </c>
      <c r="B334" t="s">
        <v>310</v>
      </c>
      <c r="C334" t="s">
        <v>35</v>
      </c>
      <c r="D334" t="s">
        <v>35</v>
      </c>
      <c r="E334" t="s">
        <v>35</v>
      </c>
      <c r="F334">
        <v>0.70569999999999999</v>
      </c>
      <c r="G334">
        <v>2.2499999999999999E-2</v>
      </c>
      <c r="H334">
        <v>1.01E-2</v>
      </c>
      <c r="I334">
        <v>2.9999999999999997E-4</v>
      </c>
      <c r="J334">
        <v>0.26140000000000002</v>
      </c>
      <c r="K334">
        <v>0.66820000000000002</v>
      </c>
      <c r="L334">
        <v>6.1800000000000001E-2</v>
      </c>
      <c r="M334">
        <v>0.16850000000000001</v>
      </c>
      <c r="N334">
        <v>0.1633</v>
      </c>
      <c r="O334">
        <v>100</v>
      </c>
      <c r="P334">
        <v>0.59099999999999997</v>
      </c>
      <c r="Q334" t="s">
        <v>35</v>
      </c>
      <c r="R334" t="s">
        <v>35</v>
      </c>
      <c r="S334" t="s">
        <v>35</v>
      </c>
      <c r="T334">
        <v>470</v>
      </c>
      <c r="U334" t="s">
        <v>35</v>
      </c>
      <c r="V334">
        <v>1.1854</v>
      </c>
      <c r="W334">
        <v>0.1</v>
      </c>
      <c r="X334">
        <v>0.9</v>
      </c>
      <c r="Y334" t="s">
        <v>35</v>
      </c>
      <c r="Z334">
        <v>0</v>
      </c>
      <c r="AA334">
        <v>0</v>
      </c>
      <c r="AB334" t="s">
        <v>35</v>
      </c>
      <c r="AC334">
        <v>20</v>
      </c>
      <c r="AD334">
        <v>800</v>
      </c>
      <c r="AE334">
        <v>120</v>
      </c>
      <c r="AF334">
        <v>1</v>
      </c>
      <c r="AG334">
        <v>0</v>
      </c>
      <c r="AH334">
        <v>0</v>
      </c>
      <c r="AI334">
        <v>0</v>
      </c>
      <c r="AJ334">
        <v>0</v>
      </c>
      <c r="AK334">
        <v>1</v>
      </c>
      <c r="AL334">
        <f t="shared" si="14"/>
        <v>2.9999999999999997E-4</v>
      </c>
      <c r="AM334" t="s">
        <v>35</v>
      </c>
    </row>
    <row r="335" spans="1:39" x14ac:dyDescent="0.25">
      <c r="A335" s="6" t="s">
        <v>309</v>
      </c>
      <c r="B335" t="s">
        <v>310</v>
      </c>
      <c r="C335" t="s">
        <v>35</v>
      </c>
      <c r="D335" t="s">
        <v>35</v>
      </c>
      <c r="E335" t="s">
        <v>35</v>
      </c>
      <c r="F335">
        <v>0.70569999999999999</v>
      </c>
      <c r="G335">
        <v>2.2499999999999999E-2</v>
      </c>
      <c r="H335">
        <v>1.01E-2</v>
      </c>
      <c r="I335">
        <v>2.9999999999999997E-4</v>
      </c>
      <c r="J335">
        <v>0.26140000000000002</v>
      </c>
      <c r="K335">
        <v>0.66820000000000002</v>
      </c>
      <c r="L335">
        <v>6.1800000000000001E-2</v>
      </c>
      <c r="M335">
        <v>0.16850000000000001</v>
      </c>
      <c r="N335">
        <v>0.1633</v>
      </c>
      <c r="O335">
        <v>100</v>
      </c>
      <c r="P335">
        <v>0.59099999999999997</v>
      </c>
      <c r="Q335" t="s">
        <v>35</v>
      </c>
      <c r="R335" t="s">
        <v>35</v>
      </c>
      <c r="S335" t="s">
        <v>35</v>
      </c>
      <c r="T335">
        <v>470</v>
      </c>
      <c r="U335" t="s">
        <v>35</v>
      </c>
      <c r="V335">
        <v>1.1854</v>
      </c>
      <c r="W335">
        <v>0.1</v>
      </c>
      <c r="X335">
        <v>0.9</v>
      </c>
      <c r="Y335" t="s">
        <v>35</v>
      </c>
      <c r="Z335">
        <v>0</v>
      </c>
      <c r="AA335">
        <v>0</v>
      </c>
      <c r="AB335" t="s">
        <v>35</v>
      </c>
      <c r="AC335">
        <v>20</v>
      </c>
      <c r="AD335">
        <v>900</v>
      </c>
      <c r="AE335">
        <v>30</v>
      </c>
      <c r="AF335">
        <v>1</v>
      </c>
      <c r="AG335">
        <v>0</v>
      </c>
      <c r="AH335">
        <v>0</v>
      </c>
      <c r="AI335">
        <v>0</v>
      </c>
      <c r="AJ335">
        <v>0</v>
      </c>
      <c r="AK335">
        <v>1</v>
      </c>
      <c r="AL335">
        <f t="shared" si="14"/>
        <v>2.9999999999999997E-4</v>
      </c>
      <c r="AM335" t="s">
        <v>35</v>
      </c>
    </row>
    <row r="336" spans="1:39" x14ac:dyDescent="0.25">
      <c r="A336" s="6" t="s">
        <v>309</v>
      </c>
      <c r="B336" t="s">
        <v>310</v>
      </c>
      <c r="C336" t="s">
        <v>35</v>
      </c>
      <c r="D336" t="s">
        <v>35</v>
      </c>
      <c r="E336" t="s">
        <v>35</v>
      </c>
      <c r="F336">
        <v>0.70569999999999999</v>
      </c>
      <c r="G336">
        <v>2.2499999999999999E-2</v>
      </c>
      <c r="H336">
        <v>1.01E-2</v>
      </c>
      <c r="I336">
        <v>2.9999999999999997E-4</v>
      </c>
      <c r="J336">
        <v>0.26140000000000002</v>
      </c>
      <c r="K336">
        <v>0.66820000000000002</v>
      </c>
      <c r="L336">
        <v>6.1800000000000001E-2</v>
      </c>
      <c r="M336">
        <v>0.16850000000000001</v>
      </c>
      <c r="N336">
        <v>0.1633</v>
      </c>
      <c r="O336">
        <v>100</v>
      </c>
      <c r="P336">
        <v>0.59099999999999997</v>
      </c>
      <c r="Q336" t="s">
        <v>35</v>
      </c>
      <c r="R336" t="s">
        <v>35</v>
      </c>
      <c r="S336" t="s">
        <v>35</v>
      </c>
      <c r="T336">
        <v>470</v>
      </c>
      <c r="U336" t="s">
        <v>35</v>
      </c>
      <c r="V336">
        <v>1.1854</v>
      </c>
      <c r="W336">
        <v>0.1</v>
      </c>
      <c r="X336">
        <v>0.9</v>
      </c>
      <c r="Y336" t="s">
        <v>35</v>
      </c>
      <c r="Z336">
        <v>0</v>
      </c>
      <c r="AA336">
        <v>0</v>
      </c>
      <c r="AB336" t="s">
        <v>35</v>
      </c>
      <c r="AC336">
        <v>20</v>
      </c>
      <c r="AD336">
        <v>900</v>
      </c>
      <c r="AE336">
        <v>60</v>
      </c>
      <c r="AF336">
        <v>1</v>
      </c>
      <c r="AG336">
        <v>0</v>
      </c>
      <c r="AH336">
        <v>0</v>
      </c>
      <c r="AI336">
        <v>0</v>
      </c>
      <c r="AJ336">
        <v>0</v>
      </c>
      <c r="AK336">
        <v>1</v>
      </c>
      <c r="AL336">
        <f t="shared" si="14"/>
        <v>2.9999999999999997E-4</v>
      </c>
      <c r="AM336" t="s">
        <v>35</v>
      </c>
    </row>
    <row r="337" spans="1:39" x14ac:dyDescent="0.25">
      <c r="A337" s="6" t="s">
        <v>309</v>
      </c>
      <c r="B337" t="s">
        <v>310</v>
      </c>
      <c r="C337" t="s">
        <v>35</v>
      </c>
      <c r="D337" t="s">
        <v>35</v>
      </c>
      <c r="E337" t="s">
        <v>35</v>
      </c>
      <c r="F337">
        <v>0.70569999999999999</v>
      </c>
      <c r="G337">
        <v>2.2499999999999999E-2</v>
      </c>
      <c r="H337">
        <v>1.01E-2</v>
      </c>
      <c r="I337">
        <v>2.9999999999999997E-4</v>
      </c>
      <c r="J337">
        <v>0.26140000000000002</v>
      </c>
      <c r="K337">
        <v>0.66820000000000002</v>
      </c>
      <c r="L337">
        <v>6.1800000000000001E-2</v>
      </c>
      <c r="M337">
        <v>0.16850000000000001</v>
      </c>
      <c r="N337">
        <v>0.1633</v>
      </c>
      <c r="O337">
        <v>100</v>
      </c>
      <c r="P337">
        <v>0.59099999999999997</v>
      </c>
      <c r="Q337" t="s">
        <v>35</v>
      </c>
      <c r="R337" t="s">
        <v>35</v>
      </c>
      <c r="S337" t="s">
        <v>35</v>
      </c>
      <c r="T337">
        <v>470</v>
      </c>
      <c r="U337" t="s">
        <v>35</v>
      </c>
      <c r="V337">
        <v>1.1854</v>
      </c>
      <c r="W337">
        <v>0.1</v>
      </c>
      <c r="X337">
        <v>0.9</v>
      </c>
      <c r="Y337" t="s">
        <v>35</v>
      </c>
      <c r="Z337">
        <v>0</v>
      </c>
      <c r="AA337">
        <v>0</v>
      </c>
      <c r="AB337" t="s">
        <v>35</v>
      </c>
      <c r="AC337">
        <v>20</v>
      </c>
      <c r="AD337">
        <v>900</v>
      </c>
      <c r="AE337">
        <v>90</v>
      </c>
      <c r="AF337">
        <v>1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f t="shared" si="14"/>
        <v>2.9999999999999997E-4</v>
      </c>
      <c r="AM337" t="s">
        <v>35</v>
      </c>
    </row>
    <row r="338" spans="1:39" x14ac:dyDescent="0.25">
      <c r="A338" s="6" t="s">
        <v>309</v>
      </c>
      <c r="B338" t="s">
        <v>310</v>
      </c>
      <c r="C338" t="s">
        <v>35</v>
      </c>
      <c r="D338" t="s">
        <v>35</v>
      </c>
      <c r="E338" t="s">
        <v>35</v>
      </c>
      <c r="F338">
        <v>0.70569999999999999</v>
      </c>
      <c r="G338">
        <v>2.2499999999999999E-2</v>
      </c>
      <c r="H338">
        <v>1.01E-2</v>
      </c>
      <c r="I338">
        <v>2.9999999999999997E-4</v>
      </c>
      <c r="J338">
        <v>0.26140000000000002</v>
      </c>
      <c r="K338">
        <v>0.66820000000000002</v>
      </c>
      <c r="L338">
        <v>6.1800000000000001E-2</v>
      </c>
      <c r="M338">
        <v>0.16850000000000001</v>
      </c>
      <c r="N338">
        <v>0.1633</v>
      </c>
      <c r="O338">
        <v>100</v>
      </c>
      <c r="P338">
        <v>0.59099999999999997</v>
      </c>
      <c r="Q338" t="s">
        <v>35</v>
      </c>
      <c r="R338" t="s">
        <v>35</v>
      </c>
      <c r="S338" t="s">
        <v>35</v>
      </c>
      <c r="T338">
        <v>470</v>
      </c>
      <c r="U338" t="s">
        <v>35</v>
      </c>
      <c r="V338">
        <v>1.1854</v>
      </c>
      <c r="W338">
        <v>0.1</v>
      </c>
      <c r="X338">
        <v>0.9</v>
      </c>
      <c r="Y338" t="s">
        <v>35</v>
      </c>
      <c r="Z338">
        <v>0</v>
      </c>
      <c r="AA338">
        <v>0</v>
      </c>
      <c r="AB338" t="s">
        <v>35</v>
      </c>
      <c r="AC338">
        <v>20</v>
      </c>
      <c r="AD338">
        <v>900</v>
      </c>
      <c r="AE338">
        <v>120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1</v>
      </c>
      <c r="AL338">
        <f t="shared" si="14"/>
        <v>2.9999999999999997E-4</v>
      </c>
      <c r="AM338" t="s">
        <v>35</v>
      </c>
    </row>
    <row r="339" spans="1:39" x14ac:dyDescent="0.25">
      <c r="A339" s="6" t="s">
        <v>311</v>
      </c>
      <c r="C339">
        <v>67.5</v>
      </c>
      <c r="D339" t="s">
        <v>35</v>
      </c>
      <c r="E339" t="s">
        <v>35</v>
      </c>
      <c r="F339">
        <v>0.91600000000000004</v>
      </c>
      <c r="G339">
        <v>2.7E-2</v>
      </c>
      <c r="H339" t="s">
        <v>35</v>
      </c>
      <c r="I339">
        <v>2.0000000000000001E-4</v>
      </c>
      <c r="J339">
        <v>5.2999999999999999E-2</v>
      </c>
      <c r="K339">
        <v>0.80300000000000005</v>
      </c>
      <c r="L339" t="s">
        <v>35</v>
      </c>
      <c r="M339">
        <v>6.0000000000000001E-3</v>
      </c>
      <c r="N339">
        <v>0.191</v>
      </c>
      <c r="O339">
        <v>67.5</v>
      </c>
      <c r="P339">
        <v>0.64792000000000005</v>
      </c>
      <c r="Q339" t="s">
        <v>35</v>
      </c>
      <c r="R339" t="s">
        <v>35</v>
      </c>
      <c r="S339" t="s">
        <v>35</v>
      </c>
      <c r="T339" t="s">
        <v>35</v>
      </c>
      <c r="U339" t="s">
        <v>35</v>
      </c>
      <c r="V339">
        <v>1</v>
      </c>
      <c r="W339">
        <v>0.1764</v>
      </c>
      <c r="X339">
        <v>0.80359999999999998</v>
      </c>
      <c r="Y339" t="s">
        <v>35</v>
      </c>
      <c r="Z339">
        <v>0.02</v>
      </c>
      <c r="AA339">
        <v>0</v>
      </c>
      <c r="AB339">
        <v>0.82</v>
      </c>
      <c r="AC339">
        <v>20</v>
      </c>
      <c r="AD339">
        <v>900</v>
      </c>
      <c r="AE339">
        <v>30</v>
      </c>
      <c r="AF339">
        <v>1</v>
      </c>
      <c r="AG339">
        <v>0</v>
      </c>
      <c r="AH339">
        <v>0.2</v>
      </c>
      <c r="AI339">
        <v>0.2</v>
      </c>
      <c r="AJ339">
        <v>0</v>
      </c>
      <c r="AK339">
        <v>0.6</v>
      </c>
      <c r="AL339">
        <f>0.2</f>
        <v>0.2</v>
      </c>
      <c r="AM339">
        <v>0.219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Éricles Vale Nascimento</dc:creator>
  <cp:lastModifiedBy>Èricles</cp:lastModifiedBy>
  <dcterms:created xsi:type="dcterms:W3CDTF">2025-04-22T18:14:59Z</dcterms:created>
  <dcterms:modified xsi:type="dcterms:W3CDTF">2025-10-13T19:02:02Z</dcterms:modified>
</cp:coreProperties>
</file>